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M:\Technology\Agile\Current Reporting\Team Sprint Accomplishments\"/>
    </mc:Choice>
  </mc:AlternateContent>
  <bookViews>
    <workbookView xWindow="0" yWindow="90" windowWidth="15390" windowHeight="7995" tabRatio="776" firstSheet="1" activeTab="3"/>
  </bookViews>
  <sheets>
    <sheet name="Calculations" sheetId="29" state="hidden" r:id="rId1"/>
    <sheet name="Sprint Summary YTD" sheetId="31" r:id="rId2"/>
    <sheet name="Sprint Summary Q1" sheetId="39" r:id="rId3"/>
    <sheet name="Sprint Summary Q2" sheetId="18" r:id="rId4"/>
    <sheet name="Sprint Summary Q3" sheetId="33" r:id="rId5"/>
    <sheet name="Sprint Summary Q4" sheetId="34" r:id="rId6"/>
    <sheet name="Other" sheetId="27" r:id="rId7"/>
    <sheet name="New Value - OTR &amp; ITRs" sheetId="35" r:id="rId8"/>
    <sheet name="Instructions" sheetId="36" r:id="rId9"/>
  </sheets>
  <calcPr calcId="162913"/>
</workbook>
</file>

<file path=xl/calcChain.xml><?xml version="1.0" encoding="utf-8"?>
<calcChain xmlns="http://schemas.openxmlformats.org/spreadsheetml/2006/main">
  <c r="C23" i="31" l="1"/>
  <c r="D23" i="31"/>
  <c r="E23" i="31"/>
  <c r="B23" i="31"/>
  <c r="F23" i="31"/>
  <c r="E19" i="31"/>
  <c r="D19" i="31"/>
  <c r="F22" i="31"/>
  <c r="F21" i="31"/>
  <c r="E22" i="31"/>
  <c r="D22" i="31"/>
  <c r="C22" i="31"/>
  <c r="E21" i="31"/>
  <c r="D21" i="31"/>
  <c r="C21" i="31"/>
  <c r="B22" i="31"/>
  <c r="B21" i="31"/>
  <c r="E5" i="31"/>
  <c r="D5" i="31"/>
  <c r="F18" i="31"/>
  <c r="E15" i="31"/>
  <c r="E16" i="31"/>
  <c r="E17" i="31"/>
  <c r="E18" i="31"/>
  <c r="D15" i="31"/>
  <c r="D16" i="31"/>
  <c r="D17" i="31"/>
  <c r="D18" i="31"/>
  <c r="C18" i="31"/>
  <c r="E14" i="31"/>
  <c r="D14" i="31"/>
  <c r="B17" i="31"/>
  <c r="B18" i="31"/>
  <c r="F9" i="31"/>
  <c r="F11" i="31"/>
  <c r="F12" i="31"/>
  <c r="F8" i="31"/>
  <c r="E9" i="31"/>
  <c r="E10" i="31"/>
  <c r="E11" i="31"/>
  <c r="E12" i="31"/>
  <c r="D9" i="31"/>
  <c r="D10" i="31"/>
  <c r="D11" i="31"/>
  <c r="D12" i="31"/>
  <c r="C9" i="31"/>
  <c r="C11" i="31"/>
  <c r="C12" i="31"/>
  <c r="E8" i="31"/>
  <c r="D8" i="31"/>
  <c r="C8" i="31"/>
  <c r="B9" i="31"/>
  <c r="B10" i="31"/>
  <c r="B11" i="31"/>
  <c r="B12" i="31"/>
  <c r="B8" i="31"/>
  <c r="B4" i="31"/>
  <c r="E4" i="31"/>
  <c r="E6" i="31"/>
  <c r="D4" i="31"/>
  <c r="D6" i="31"/>
  <c r="H22" i="34"/>
  <c r="H21" i="34"/>
  <c r="H15" i="34"/>
  <c r="H16" i="34"/>
  <c r="H17" i="34"/>
  <c r="H18" i="34"/>
  <c r="H14" i="34"/>
  <c r="H4" i="34"/>
  <c r="H6" i="34"/>
  <c r="H3" i="34"/>
  <c r="E3" i="31" s="1"/>
  <c r="I22" i="33"/>
  <c r="I21" i="33"/>
  <c r="I15" i="33"/>
  <c r="I16" i="33"/>
  <c r="I17" i="33"/>
  <c r="I18" i="33"/>
  <c r="I14" i="33"/>
  <c r="D3" i="31"/>
  <c r="C19" i="29" l="1"/>
  <c r="D19" i="29"/>
  <c r="E19" i="29"/>
  <c r="F19" i="29"/>
  <c r="G19" i="29"/>
  <c r="B19" i="29"/>
  <c r="W14" i="29"/>
  <c r="X14" i="29"/>
  <c r="Y14" i="29"/>
  <c r="Z14" i="29"/>
  <c r="AA14" i="29"/>
  <c r="W15" i="29"/>
  <c r="X15" i="29"/>
  <c r="Y15" i="29"/>
  <c r="Z15" i="29"/>
  <c r="AA15" i="29"/>
  <c r="W16" i="29"/>
  <c r="X16" i="29"/>
  <c r="Y16" i="29"/>
  <c r="Z16" i="29"/>
  <c r="AA16" i="29"/>
  <c r="W17" i="29"/>
  <c r="X17" i="29"/>
  <c r="Y17" i="29"/>
  <c r="Z17" i="29"/>
  <c r="AA17" i="29"/>
  <c r="W18" i="29"/>
  <c r="X18" i="29"/>
  <c r="Y18" i="29"/>
  <c r="Z18" i="29"/>
  <c r="AA18" i="29"/>
  <c r="V15" i="29"/>
  <c r="V16" i="29"/>
  <c r="V17" i="29"/>
  <c r="V18" i="29"/>
  <c r="V14" i="29"/>
  <c r="U15" i="29"/>
  <c r="U16" i="29"/>
  <c r="U17" i="29"/>
  <c r="U18" i="29"/>
  <c r="U14" i="29"/>
  <c r="W22" i="29"/>
  <c r="X22" i="29"/>
  <c r="Y22" i="29"/>
  <c r="Z22" i="29"/>
  <c r="AA22" i="29"/>
  <c r="V22" i="29"/>
  <c r="W21" i="29"/>
  <c r="X21" i="29"/>
  <c r="Y21" i="29"/>
  <c r="Z21" i="29"/>
  <c r="AA21" i="29"/>
  <c r="V21" i="29"/>
  <c r="U22" i="29"/>
  <c r="U21" i="29"/>
  <c r="J22" i="29"/>
  <c r="K22" i="29"/>
  <c r="L22" i="29"/>
  <c r="M22" i="29"/>
  <c r="N22" i="29"/>
  <c r="J21" i="29"/>
  <c r="K21" i="29"/>
  <c r="L21" i="29"/>
  <c r="M21" i="29"/>
  <c r="N21" i="29"/>
  <c r="C23" i="29"/>
  <c r="D23" i="29"/>
  <c r="E23" i="29"/>
  <c r="F23" i="29"/>
  <c r="G23" i="29"/>
  <c r="H23" i="29"/>
  <c r="B23" i="29"/>
  <c r="C21" i="29"/>
  <c r="D21" i="29"/>
  <c r="E21" i="29"/>
  <c r="F21" i="29"/>
  <c r="G21" i="29"/>
  <c r="H21" i="29"/>
  <c r="C22" i="29"/>
  <c r="D22" i="29"/>
  <c r="E22" i="29"/>
  <c r="F22" i="29"/>
  <c r="G22" i="29"/>
  <c r="H22" i="29"/>
  <c r="B22" i="29"/>
  <c r="B21" i="29"/>
  <c r="C15" i="29"/>
  <c r="D15" i="29"/>
  <c r="E15" i="29"/>
  <c r="F15" i="29"/>
  <c r="G15" i="29"/>
  <c r="H15" i="29"/>
  <c r="C16" i="29"/>
  <c r="D16" i="29"/>
  <c r="E16" i="29"/>
  <c r="F16" i="29"/>
  <c r="G16" i="29"/>
  <c r="H16" i="29"/>
  <c r="C17" i="29"/>
  <c r="D17" i="29"/>
  <c r="E17" i="29"/>
  <c r="F17" i="29"/>
  <c r="G17" i="29"/>
  <c r="H17" i="29"/>
  <c r="C18" i="29"/>
  <c r="D18" i="29"/>
  <c r="E18" i="29"/>
  <c r="F18" i="29"/>
  <c r="G18" i="29"/>
  <c r="H18" i="29"/>
  <c r="C14" i="29"/>
  <c r="D14" i="29"/>
  <c r="E14" i="29"/>
  <c r="F14" i="29"/>
  <c r="G14" i="29"/>
  <c r="H14" i="29"/>
  <c r="B15" i="29"/>
  <c r="B16" i="29"/>
  <c r="B17" i="29"/>
  <c r="B18" i="29"/>
  <c r="B14" i="29"/>
  <c r="C9" i="29"/>
  <c r="D9" i="29"/>
  <c r="E9" i="29"/>
  <c r="F9" i="29"/>
  <c r="G9" i="29"/>
  <c r="H9" i="29"/>
  <c r="C10" i="29"/>
  <c r="D10" i="29"/>
  <c r="E10" i="29"/>
  <c r="F10" i="29"/>
  <c r="G10" i="29"/>
  <c r="H10" i="29"/>
  <c r="C11" i="29"/>
  <c r="D11" i="29"/>
  <c r="E11" i="29"/>
  <c r="F11" i="29"/>
  <c r="G11" i="29"/>
  <c r="H11" i="29"/>
  <c r="C12" i="29"/>
  <c r="D12" i="29"/>
  <c r="E12" i="29"/>
  <c r="F12" i="29"/>
  <c r="G12" i="29"/>
  <c r="H12" i="29"/>
  <c r="C8" i="29"/>
  <c r="D8" i="29"/>
  <c r="E8" i="29"/>
  <c r="F8" i="29"/>
  <c r="G8" i="29"/>
  <c r="H8" i="29"/>
  <c r="B9" i="29"/>
  <c r="B10" i="29"/>
  <c r="B11" i="29"/>
  <c r="B12" i="29"/>
  <c r="B8" i="29"/>
  <c r="I8" i="29"/>
  <c r="C6" i="29"/>
  <c r="D6" i="29"/>
  <c r="E6" i="29"/>
  <c r="F6" i="29"/>
  <c r="G6" i="29"/>
  <c r="H6" i="29"/>
  <c r="C5" i="29"/>
  <c r="D5" i="29"/>
  <c r="E5" i="29"/>
  <c r="F5" i="29"/>
  <c r="G5" i="29"/>
  <c r="C4" i="29"/>
  <c r="D4" i="29"/>
  <c r="E4" i="29"/>
  <c r="F4" i="29"/>
  <c r="G4" i="29"/>
  <c r="H4" i="29"/>
  <c r="B4" i="29"/>
  <c r="B5" i="29"/>
  <c r="B6" i="29"/>
  <c r="C3" i="29"/>
  <c r="D3" i="29"/>
  <c r="E3" i="29"/>
  <c r="F3" i="29"/>
  <c r="G3" i="29"/>
  <c r="H3" i="29"/>
  <c r="B3" i="29"/>
  <c r="H23" i="39" l="1"/>
  <c r="G23" i="39"/>
  <c r="F23" i="39"/>
  <c r="E23" i="39"/>
  <c r="D23" i="39"/>
  <c r="C23" i="39"/>
  <c r="B23" i="39"/>
  <c r="G23" i="18"/>
  <c r="F23" i="18"/>
  <c r="E23" i="18"/>
  <c r="H23" i="33" l="1"/>
  <c r="H19" i="33"/>
  <c r="H5" i="33"/>
  <c r="D23" i="18"/>
  <c r="C23" i="18"/>
  <c r="B23" i="18"/>
  <c r="H22" i="18"/>
  <c r="H21" i="18"/>
  <c r="E19" i="18"/>
  <c r="D19" i="18"/>
  <c r="G19" i="18"/>
  <c r="F19" i="18"/>
  <c r="H8" i="18"/>
  <c r="D5" i="18"/>
  <c r="H6" i="18"/>
  <c r="C6" i="31" s="1"/>
  <c r="H4" i="18"/>
  <c r="C4" i="31" s="1"/>
  <c r="F4" i="31" s="1"/>
  <c r="H3" i="18"/>
  <c r="G5" i="18"/>
  <c r="N5" i="29" s="1"/>
  <c r="F5" i="18"/>
  <c r="M5" i="29" s="1"/>
  <c r="E5" i="18"/>
  <c r="L5" i="29" s="1"/>
  <c r="K5" i="29"/>
  <c r="C5" i="18"/>
  <c r="B5" i="18"/>
  <c r="I5" i="18" s="1"/>
  <c r="H19" i="39"/>
  <c r="G19" i="39"/>
  <c r="F19" i="39"/>
  <c r="E19" i="39"/>
  <c r="D19" i="39"/>
  <c r="C19" i="39"/>
  <c r="I18" i="39"/>
  <c r="I17" i="39"/>
  <c r="I12" i="39"/>
  <c r="I11" i="39"/>
  <c r="I10" i="39"/>
  <c r="I9" i="39"/>
  <c r="I8" i="39"/>
  <c r="I14" i="39"/>
  <c r="B14" i="31" s="1"/>
  <c r="I15" i="39"/>
  <c r="B15" i="31" s="1"/>
  <c r="I16" i="39"/>
  <c r="B16" i="31" s="1"/>
  <c r="H5" i="39"/>
  <c r="H5" i="29" s="1"/>
  <c r="I4" i="39"/>
  <c r="C5" i="39"/>
  <c r="J5" i="29"/>
  <c r="C3" i="31" l="1"/>
  <c r="I19" i="39"/>
  <c r="B19" i="31" s="1"/>
  <c r="H19" i="29"/>
  <c r="H5" i="18"/>
  <c r="C5" i="31" s="1"/>
  <c r="I5" i="29"/>
  <c r="H23" i="18"/>
  <c r="AA6" i="29"/>
  <c r="Z6" i="29"/>
  <c r="Y6" i="29"/>
  <c r="X6" i="29"/>
  <c r="W6" i="29"/>
  <c r="V6" i="29"/>
  <c r="U6" i="29"/>
  <c r="T6" i="29"/>
  <c r="S6" i="29"/>
  <c r="R6" i="29"/>
  <c r="Q6" i="29"/>
  <c r="P6" i="29"/>
  <c r="O6" i="29"/>
  <c r="N6" i="29"/>
  <c r="M6" i="29"/>
  <c r="L6" i="29"/>
  <c r="K6" i="29"/>
  <c r="J6" i="29"/>
  <c r="I6" i="29"/>
  <c r="AA4" i="29"/>
  <c r="Z4" i="29"/>
  <c r="Y4" i="29"/>
  <c r="X4" i="29"/>
  <c r="W4" i="29"/>
  <c r="V4" i="29"/>
  <c r="U4" i="29"/>
  <c r="T4" i="29"/>
  <c r="S4" i="29"/>
  <c r="R4" i="29"/>
  <c r="Q4" i="29"/>
  <c r="P4" i="29"/>
  <c r="O4" i="29"/>
  <c r="N4" i="29"/>
  <c r="M4" i="29"/>
  <c r="L4" i="29"/>
  <c r="K4" i="29"/>
  <c r="J4" i="29"/>
  <c r="I4" i="29"/>
  <c r="AA3" i="29"/>
  <c r="Z3" i="29"/>
  <c r="Y3" i="29"/>
  <c r="X3" i="29"/>
  <c r="W3" i="29"/>
  <c r="V3" i="29"/>
  <c r="U3" i="29"/>
  <c r="AB6" i="29" l="1"/>
  <c r="AB4" i="29"/>
  <c r="L38" i="29"/>
  <c r="L37" i="29" s="1"/>
  <c r="J38" i="29"/>
  <c r="J37" i="29" s="1"/>
  <c r="I12" i="33" l="1"/>
  <c r="I11" i="33"/>
  <c r="I10" i="33"/>
  <c r="I9" i="33"/>
  <c r="I8" i="33"/>
  <c r="I6" i="33"/>
  <c r="I4" i="33"/>
  <c r="I3" i="33"/>
  <c r="I22" i="39" l="1"/>
  <c r="I21" i="39"/>
  <c r="I6" i="39"/>
  <c r="B6" i="31" s="1"/>
  <c r="F6" i="31" s="1"/>
  <c r="I3" i="39"/>
  <c r="B3" i="31" s="1"/>
  <c r="F3" i="31" s="1"/>
  <c r="I23" i="39" l="1"/>
  <c r="G5" i="39"/>
  <c r="F5" i="39"/>
  <c r="E5" i="39"/>
  <c r="D5" i="39"/>
  <c r="A25" i="39"/>
  <c r="J5" i="39" l="1"/>
  <c r="I31" i="29" s="1"/>
  <c r="I5" i="39"/>
  <c r="I38" i="29"/>
  <c r="I37" i="29" s="1"/>
  <c r="I28" i="29" l="1"/>
  <c r="B5" i="31"/>
  <c r="F5" i="31" s="1"/>
  <c r="H5" i="34"/>
  <c r="I14" i="29" l="1"/>
  <c r="I15" i="29"/>
  <c r="I16" i="29"/>
  <c r="I17" i="29"/>
  <c r="I18" i="29"/>
  <c r="O3" i="29"/>
  <c r="P3" i="29"/>
  <c r="Q3" i="29"/>
  <c r="R3" i="29"/>
  <c r="S3" i="29"/>
  <c r="T3" i="29"/>
  <c r="Q34" i="29" l="1"/>
  <c r="B19" i="18"/>
  <c r="C5" i="33"/>
  <c r="O22" i="29" l="1"/>
  <c r="P22" i="29"/>
  <c r="Q22" i="29"/>
  <c r="R22" i="29"/>
  <c r="S22" i="29"/>
  <c r="T22" i="29"/>
  <c r="P21" i="29"/>
  <c r="Q21" i="29"/>
  <c r="R21" i="29"/>
  <c r="S21" i="29"/>
  <c r="T21" i="29"/>
  <c r="O21" i="29"/>
  <c r="H17" i="18"/>
  <c r="C17" i="31" s="1"/>
  <c r="F17" i="31" s="1"/>
  <c r="O15" i="29"/>
  <c r="P15" i="29"/>
  <c r="Q15" i="29"/>
  <c r="R15" i="29"/>
  <c r="S15" i="29"/>
  <c r="T15" i="29"/>
  <c r="O16" i="29"/>
  <c r="P16" i="29"/>
  <c r="Q16" i="29"/>
  <c r="R16" i="29"/>
  <c r="S16" i="29"/>
  <c r="T16" i="29"/>
  <c r="O17" i="29"/>
  <c r="P17" i="29"/>
  <c r="Q17" i="29"/>
  <c r="R17" i="29"/>
  <c r="S17" i="29"/>
  <c r="T17" i="29"/>
  <c r="O18" i="29"/>
  <c r="P18" i="29"/>
  <c r="Q18" i="29"/>
  <c r="R18" i="29"/>
  <c r="S18" i="29"/>
  <c r="T18" i="29"/>
  <c r="P14" i="29"/>
  <c r="Q14" i="29"/>
  <c r="R14" i="29"/>
  <c r="S14" i="29"/>
  <c r="T14" i="29"/>
  <c r="O14" i="29"/>
  <c r="J15" i="29"/>
  <c r="K15" i="29"/>
  <c r="L15" i="29"/>
  <c r="M15" i="29"/>
  <c r="N15" i="29"/>
  <c r="J16" i="29"/>
  <c r="K16" i="29"/>
  <c r="L16" i="29"/>
  <c r="M16" i="29"/>
  <c r="N16" i="29"/>
  <c r="J17" i="29"/>
  <c r="K17" i="29"/>
  <c r="L17" i="29"/>
  <c r="M17" i="29"/>
  <c r="N17" i="29"/>
  <c r="J18" i="29"/>
  <c r="K18" i="29"/>
  <c r="L18" i="29"/>
  <c r="M18" i="29"/>
  <c r="N18" i="29"/>
  <c r="J14" i="29"/>
  <c r="K14" i="29"/>
  <c r="L14" i="29"/>
  <c r="M14" i="29"/>
  <c r="N14" i="29"/>
  <c r="AB16" i="29" l="1"/>
  <c r="AB14" i="29"/>
  <c r="AB15" i="29"/>
  <c r="AB18" i="29"/>
  <c r="AB17" i="29"/>
  <c r="J81" i="29"/>
  <c r="K81" i="29"/>
  <c r="I81" i="29"/>
  <c r="L49" i="29"/>
  <c r="M49" i="29"/>
  <c r="J49" i="29"/>
  <c r="K49" i="29"/>
  <c r="Q47" i="29"/>
  <c r="Q51" i="29"/>
  <c r="Q63" i="29" s="1"/>
  <c r="Q49" i="29"/>
  <c r="Q50" i="29"/>
  <c r="Q48" i="29"/>
  <c r="V48" i="29"/>
  <c r="V49" i="29"/>
  <c r="V50" i="29"/>
  <c r="V47" i="29"/>
  <c r="V51" i="29"/>
  <c r="V63" i="29" s="1"/>
  <c r="I50" i="29"/>
  <c r="I48" i="29"/>
  <c r="I49" i="29"/>
  <c r="I47" i="29"/>
  <c r="I51" i="29"/>
  <c r="K48" i="29"/>
  <c r="K47" i="29"/>
  <c r="K50" i="29"/>
  <c r="K51" i="29"/>
  <c r="K63" i="29" s="1"/>
  <c r="S49" i="29"/>
  <c r="S47" i="29"/>
  <c r="S51" i="29"/>
  <c r="S63" i="29" s="1"/>
  <c r="S50" i="29"/>
  <c r="S48" i="29"/>
  <c r="U47" i="29"/>
  <c r="U51" i="29"/>
  <c r="U48" i="29"/>
  <c r="U49" i="29"/>
  <c r="U50" i="29"/>
  <c r="X50" i="29"/>
  <c r="X48" i="29"/>
  <c r="X49" i="29"/>
  <c r="X47" i="29"/>
  <c r="X51" i="29"/>
  <c r="X63" i="29" s="1"/>
  <c r="O49" i="29"/>
  <c r="O47" i="29"/>
  <c r="O50" i="29"/>
  <c r="O51" i="29"/>
  <c r="O48" i="29"/>
  <c r="Z48" i="29"/>
  <c r="Z50" i="29"/>
  <c r="Z51" i="29"/>
  <c r="Z63" i="29" s="1"/>
  <c r="Z49" i="29"/>
  <c r="Z47" i="29"/>
  <c r="Z61" i="29" s="1"/>
  <c r="N48" i="29"/>
  <c r="N49" i="29"/>
  <c r="N50" i="29"/>
  <c r="N47" i="29"/>
  <c r="N51" i="29"/>
  <c r="N63" i="29" s="1"/>
  <c r="L48" i="29"/>
  <c r="L47" i="29"/>
  <c r="L51" i="29"/>
  <c r="L63" i="29" s="1"/>
  <c r="L50" i="29"/>
  <c r="T50" i="29"/>
  <c r="T47" i="29"/>
  <c r="T51" i="29"/>
  <c r="T63" i="29" s="1"/>
  <c r="T48" i="29"/>
  <c r="T49" i="29"/>
  <c r="P50" i="29"/>
  <c r="P48" i="29"/>
  <c r="P49" i="29"/>
  <c r="P47" i="29"/>
  <c r="P51" i="29"/>
  <c r="P63" i="29" s="1"/>
  <c r="Y47" i="29"/>
  <c r="Y51" i="29"/>
  <c r="Y63" i="29" s="1"/>
  <c r="Y49" i="29"/>
  <c r="Y50" i="29"/>
  <c r="Y48" i="29"/>
  <c r="M47" i="29"/>
  <c r="M51" i="29"/>
  <c r="M63" i="29" s="1"/>
  <c r="M48" i="29"/>
  <c r="M50" i="29"/>
  <c r="J51" i="29"/>
  <c r="J63" i="29" s="1"/>
  <c r="J47" i="29"/>
  <c r="J50" i="29"/>
  <c r="J48" i="29"/>
  <c r="R48" i="29"/>
  <c r="R50" i="29"/>
  <c r="R51" i="29"/>
  <c r="R63" i="29" s="1"/>
  <c r="R49" i="29"/>
  <c r="R47" i="29"/>
  <c r="R61" i="29" s="1"/>
  <c r="AA49" i="29"/>
  <c r="AA51" i="29"/>
  <c r="AA63" i="29" s="1"/>
  <c r="AA50" i="29"/>
  <c r="AA47" i="29"/>
  <c r="AA48" i="29"/>
  <c r="W49" i="29"/>
  <c r="W47" i="29"/>
  <c r="W48" i="29"/>
  <c r="W50" i="29"/>
  <c r="W51" i="29"/>
  <c r="W63" i="29" s="1"/>
  <c r="C19" i="18"/>
  <c r="H19" i="18" s="1"/>
  <c r="C19" i="31" s="1"/>
  <c r="F19" i="31" s="1"/>
  <c r="U9" i="29"/>
  <c r="V9" i="29"/>
  <c r="W9" i="29"/>
  <c r="X9" i="29"/>
  <c r="Y9" i="29"/>
  <c r="Z9" i="29"/>
  <c r="AA9" i="29"/>
  <c r="U10" i="29"/>
  <c r="V10" i="29"/>
  <c r="W10" i="29"/>
  <c r="X10" i="29"/>
  <c r="Y10" i="29"/>
  <c r="Z10" i="29"/>
  <c r="AA10" i="29"/>
  <c r="U11" i="29"/>
  <c r="V11" i="29"/>
  <c r="W11" i="29"/>
  <c r="X11" i="29"/>
  <c r="Y11" i="29"/>
  <c r="Z11" i="29"/>
  <c r="AA11" i="29"/>
  <c r="U12" i="29"/>
  <c r="V12" i="29"/>
  <c r="W12" i="29"/>
  <c r="X12" i="29"/>
  <c r="Y12" i="29"/>
  <c r="Z12" i="29"/>
  <c r="AA12" i="29"/>
  <c r="V8" i="29"/>
  <c r="W8" i="29"/>
  <c r="X8" i="29"/>
  <c r="Y8" i="29"/>
  <c r="Z8" i="29"/>
  <c r="AA8" i="29"/>
  <c r="U8" i="29"/>
  <c r="O9" i="29"/>
  <c r="P9" i="29"/>
  <c r="Q9" i="29"/>
  <c r="R9" i="29"/>
  <c r="S9" i="29"/>
  <c r="T9" i="29"/>
  <c r="O10" i="29"/>
  <c r="P10" i="29"/>
  <c r="Q10" i="29"/>
  <c r="R10" i="29"/>
  <c r="S10" i="29"/>
  <c r="T10" i="29"/>
  <c r="O11" i="29"/>
  <c r="P11" i="29"/>
  <c r="Q11" i="29"/>
  <c r="R11" i="29"/>
  <c r="S11" i="29"/>
  <c r="T11" i="29"/>
  <c r="O12" i="29"/>
  <c r="P12" i="29"/>
  <c r="Q12" i="29"/>
  <c r="R12" i="29"/>
  <c r="S12" i="29"/>
  <c r="T12" i="29"/>
  <c r="P8" i="29"/>
  <c r="Q8" i="29"/>
  <c r="R8" i="29"/>
  <c r="S8" i="29"/>
  <c r="T8" i="29"/>
  <c r="O8" i="29"/>
  <c r="I9" i="29"/>
  <c r="J9" i="29"/>
  <c r="K9" i="29"/>
  <c r="L9" i="29"/>
  <c r="M9" i="29"/>
  <c r="N9" i="29"/>
  <c r="I10" i="29"/>
  <c r="J10" i="29"/>
  <c r="K10" i="29"/>
  <c r="L10" i="29"/>
  <c r="M10" i="29"/>
  <c r="N10" i="29"/>
  <c r="I11" i="29"/>
  <c r="J11" i="29"/>
  <c r="K11" i="29"/>
  <c r="L11" i="29"/>
  <c r="M11" i="29"/>
  <c r="N11" i="29"/>
  <c r="I12" i="29"/>
  <c r="J12" i="29"/>
  <c r="K12" i="29"/>
  <c r="L12" i="29"/>
  <c r="M12" i="29"/>
  <c r="N12" i="29"/>
  <c r="J8" i="29"/>
  <c r="K8" i="29"/>
  <c r="L8" i="29"/>
  <c r="M8" i="29"/>
  <c r="N8" i="29"/>
  <c r="G23" i="34"/>
  <c r="F23" i="34"/>
  <c r="E23" i="34"/>
  <c r="D23" i="34"/>
  <c r="AA19" i="29"/>
  <c r="G19" i="34"/>
  <c r="Z19" i="29" s="1"/>
  <c r="F19" i="34"/>
  <c r="Y19" i="29" s="1"/>
  <c r="E19" i="34"/>
  <c r="D19" i="34"/>
  <c r="W19" i="29" s="1"/>
  <c r="C19" i="34"/>
  <c r="V19" i="29" s="1"/>
  <c r="B19" i="34"/>
  <c r="U19" i="29" s="1"/>
  <c r="H12" i="34"/>
  <c r="H11" i="34"/>
  <c r="H10" i="34"/>
  <c r="H9" i="34"/>
  <c r="H8" i="34"/>
  <c r="AA5" i="29"/>
  <c r="AA25" i="29" s="1"/>
  <c r="G5" i="34"/>
  <c r="Z5" i="29" s="1"/>
  <c r="Z25" i="29" s="1"/>
  <c r="F5" i="34"/>
  <c r="Y5" i="29" s="1"/>
  <c r="Y25" i="29" s="1"/>
  <c r="E5" i="34"/>
  <c r="X5" i="29" s="1"/>
  <c r="X25" i="29" s="1"/>
  <c r="D5" i="34"/>
  <c r="W5" i="29" s="1"/>
  <c r="W25" i="29" s="1"/>
  <c r="V5" i="29"/>
  <c r="V25" i="29" s="1"/>
  <c r="G23" i="33"/>
  <c r="F23" i="33"/>
  <c r="E23" i="33"/>
  <c r="G19" i="33"/>
  <c r="T19" i="29" s="1"/>
  <c r="F19" i="33"/>
  <c r="S19" i="29" s="1"/>
  <c r="E19" i="33"/>
  <c r="R19" i="29" s="1"/>
  <c r="D19" i="33"/>
  <c r="Q19" i="29" s="1"/>
  <c r="C19" i="33"/>
  <c r="P19" i="29" s="1"/>
  <c r="B19" i="33"/>
  <c r="G5" i="33"/>
  <c r="T5" i="29" s="1"/>
  <c r="T25" i="29" s="1"/>
  <c r="F5" i="33"/>
  <c r="S5" i="29" s="1"/>
  <c r="S25" i="29" s="1"/>
  <c r="E5" i="33"/>
  <c r="R5" i="29" s="1"/>
  <c r="R25" i="29" s="1"/>
  <c r="D5" i="33"/>
  <c r="Q5" i="29" s="1"/>
  <c r="Q25" i="29" s="1"/>
  <c r="P5" i="29"/>
  <c r="P25" i="29" s="1"/>
  <c r="B5" i="33"/>
  <c r="I3" i="29"/>
  <c r="J3" i="29"/>
  <c r="K3" i="29"/>
  <c r="L3" i="29"/>
  <c r="M3" i="29"/>
  <c r="N3" i="29"/>
  <c r="U5" i="29" l="1"/>
  <c r="U25" i="29" s="1"/>
  <c r="AB3" i="29"/>
  <c r="AB9" i="29"/>
  <c r="AB8" i="29"/>
  <c r="AB11" i="29"/>
  <c r="AB12" i="29"/>
  <c r="AB10" i="29"/>
  <c r="I23" i="33"/>
  <c r="I19" i="33"/>
  <c r="K38" i="29" s="1"/>
  <c r="K37" i="29" s="1"/>
  <c r="I5" i="33"/>
  <c r="A25" i="33"/>
  <c r="A25" i="34"/>
  <c r="T62" i="29"/>
  <c r="P34" i="29"/>
  <c r="R34" i="29"/>
  <c r="M61" i="29"/>
  <c r="P62" i="29"/>
  <c r="X61" i="29"/>
  <c r="O5" i="29"/>
  <c r="J5" i="33"/>
  <c r="AA61" i="29"/>
  <c r="J57" i="29"/>
  <c r="S61" i="29"/>
  <c r="K61" i="29"/>
  <c r="V61" i="29"/>
  <c r="I62" i="29"/>
  <c r="I56" i="29"/>
  <c r="O63" i="29"/>
  <c r="J68" i="29" s="1"/>
  <c r="J58" i="29"/>
  <c r="I61" i="29"/>
  <c r="I54" i="29"/>
  <c r="J61" i="29"/>
  <c r="Y62" i="29"/>
  <c r="P61" i="29"/>
  <c r="N62" i="29"/>
  <c r="I63" i="29"/>
  <c r="I68" i="29" s="1"/>
  <c r="I58" i="29"/>
  <c r="J55" i="29"/>
  <c r="J56" i="29"/>
  <c r="I57" i="29"/>
  <c r="J54" i="29"/>
  <c r="I55" i="29"/>
  <c r="U61" i="29"/>
  <c r="K54" i="29"/>
  <c r="U63" i="29"/>
  <c r="K68" i="29" s="1"/>
  <c r="K58" i="29"/>
  <c r="K57" i="29"/>
  <c r="AA62" i="29"/>
  <c r="K55" i="29"/>
  <c r="K56" i="29"/>
  <c r="M62" i="29"/>
  <c r="V62" i="29"/>
  <c r="Q62" i="29"/>
  <c r="Q61" i="29"/>
  <c r="W62" i="29"/>
  <c r="T61" i="29"/>
  <c r="L61" i="29"/>
  <c r="Z62" i="29"/>
  <c r="O62" i="29"/>
  <c r="J62" i="29"/>
  <c r="L62" i="29"/>
  <c r="W61" i="29"/>
  <c r="R62" i="29"/>
  <c r="Y61" i="29"/>
  <c r="N61" i="29"/>
  <c r="O61" i="29"/>
  <c r="X62" i="29"/>
  <c r="U62" i="29"/>
  <c r="S62" i="29"/>
  <c r="K62" i="29"/>
  <c r="AB47" i="29"/>
  <c r="L54" i="29" s="1"/>
  <c r="AB49" i="29"/>
  <c r="L56" i="29" s="1"/>
  <c r="AB51" i="29"/>
  <c r="L58" i="29" s="1"/>
  <c r="AB50" i="29"/>
  <c r="L57" i="29" s="1"/>
  <c r="AB48" i="29"/>
  <c r="L55" i="29" s="1"/>
  <c r="X19" i="29"/>
  <c r="H19" i="34"/>
  <c r="O19" i="29"/>
  <c r="H23" i="34"/>
  <c r="I5" i="34"/>
  <c r="L28" i="29" s="1"/>
  <c r="I22" i="29"/>
  <c r="I21" i="29"/>
  <c r="AB21" i="29" s="1"/>
  <c r="J19" i="29"/>
  <c r="K19" i="29"/>
  <c r="L19" i="29"/>
  <c r="M19" i="29"/>
  <c r="N19" i="29"/>
  <c r="I19" i="29"/>
  <c r="AB19" i="29" s="1"/>
  <c r="AB22" i="29" l="1"/>
  <c r="O25" i="29"/>
  <c r="AB5" i="29"/>
  <c r="K31" i="29"/>
  <c r="K28" i="29"/>
  <c r="I82" i="29"/>
  <c r="K82" i="29"/>
  <c r="J82" i="29"/>
  <c r="K76" i="29"/>
  <c r="J76" i="29"/>
  <c r="K44" i="29"/>
  <c r="J43" i="29"/>
  <c r="L43" i="29"/>
  <c r="K42" i="29"/>
  <c r="AB63" i="29"/>
  <c r="L68" i="29" s="1"/>
  <c r="K73" i="29"/>
  <c r="L73" i="29"/>
  <c r="I66" i="29"/>
  <c r="I67" i="29"/>
  <c r="J66" i="29"/>
  <c r="J67" i="29"/>
  <c r="J73" i="29"/>
  <c r="K67" i="29"/>
  <c r="K66" i="29"/>
  <c r="AB62" i="29"/>
  <c r="L67" i="29" s="1"/>
  <c r="AB61" i="29"/>
  <c r="L66" i="29" s="1"/>
  <c r="K43" i="29"/>
  <c r="M38" i="29"/>
  <c r="M37" i="29" s="1"/>
  <c r="K72" i="29" l="1"/>
  <c r="L72" i="29"/>
  <c r="K71" i="29"/>
  <c r="L71" i="29"/>
  <c r="J71" i="29"/>
  <c r="J72" i="29"/>
  <c r="AA23" i="29"/>
  <c r="Z23" i="29"/>
  <c r="Y23" i="29"/>
  <c r="X23" i="29"/>
  <c r="W23" i="29"/>
  <c r="V23" i="29"/>
  <c r="U23" i="29"/>
  <c r="T23" i="29"/>
  <c r="S23" i="29"/>
  <c r="R23" i="29"/>
  <c r="Q23" i="29"/>
  <c r="P23" i="29"/>
  <c r="O23" i="29"/>
  <c r="AC23" i="29" s="1"/>
  <c r="N23" i="29"/>
  <c r="M23" i="29"/>
  <c r="L23" i="29"/>
  <c r="K23" i="29"/>
  <c r="J23" i="29"/>
  <c r="I23" i="29"/>
  <c r="AB23" i="29" s="1"/>
  <c r="K80" i="29" l="1"/>
  <c r="J80" i="29"/>
  <c r="I80" i="29"/>
  <c r="H15" i="18" l="1"/>
  <c r="C15" i="31" s="1"/>
  <c r="F15" i="31" s="1"/>
  <c r="H16" i="18"/>
  <c r="C16" i="31" s="1"/>
  <c r="F16" i="31" s="1"/>
  <c r="H18" i="18"/>
  <c r="H14" i="18"/>
  <c r="C14" i="31" l="1"/>
  <c r="F14" i="31" s="1"/>
  <c r="A25" i="18"/>
  <c r="L25" i="29"/>
  <c r="M25" i="29"/>
  <c r="H9" i="18"/>
  <c r="H10" i="18"/>
  <c r="C10" i="31" s="1"/>
  <c r="F10" i="31" s="1"/>
  <c r="H11" i="18"/>
  <c r="H12" i="18"/>
  <c r="I25" i="29"/>
  <c r="J25" i="29"/>
  <c r="K25" i="29"/>
  <c r="N25" i="29" l="1"/>
  <c r="J41" i="29" l="1"/>
  <c r="AC5" i="29" l="1"/>
  <c r="I76" i="29" l="1"/>
  <c r="J44" i="29"/>
  <c r="L44" i="29"/>
  <c r="J42" i="29" l="1"/>
  <c r="J31" i="29"/>
  <c r="L42" i="29"/>
  <c r="J28" i="29"/>
  <c r="L31" i="29"/>
  <c r="K41" i="29"/>
  <c r="L41" i="29"/>
</calcChain>
</file>

<file path=xl/comments1.xml><?xml version="1.0" encoding="utf-8"?>
<comments xmlns="http://schemas.openxmlformats.org/spreadsheetml/2006/main">
  <authors>
    <author>Andrew Crookston</author>
  </authors>
  <commentList>
    <comment ref="A60" authorId="0" shapeId="0">
      <text>
        <r>
          <rPr>
            <b/>
            <sz val="9"/>
            <color indexed="81"/>
            <rFont val="Tahoma"/>
            <family val="2"/>
          </rPr>
          <t>Andrew Crookston:</t>
        </r>
        <r>
          <rPr>
            <sz val="9"/>
            <color indexed="81"/>
            <rFont val="Tahoma"/>
            <family val="2"/>
          </rPr>
          <t xml:space="preserve">
Run= Support
Grow = New Value Created (except Automation and Innovation)
Transform = Automation and Innovation</t>
        </r>
      </text>
    </comment>
  </commentList>
</comments>
</file>

<file path=xl/sharedStrings.xml><?xml version="1.0" encoding="utf-8"?>
<sst xmlns="http://schemas.openxmlformats.org/spreadsheetml/2006/main" count="315" uniqueCount="140">
  <si>
    <t>Concrete Improvements Completed</t>
  </si>
  <si>
    <t>Sprint ends on or before</t>
  </si>
  <si>
    <t>Continuous Improvement</t>
  </si>
  <si>
    <t>Sprint Forecast Completion Percentage</t>
  </si>
  <si>
    <t>Continuous Improvement Completion Percentage</t>
  </si>
  <si>
    <t>Predictability - Sprint Completion</t>
  </si>
  <si>
    <t>Support vs. New Value Creation</t>
  </si>
  <si>
    <t>Reason if sprint not completed - indicate with X</t>
  </si>
  <si>
    <t>Concrete Improvements Not Completed</t>
  </si>
  <si>
    <t>Team Overcommitted</t>
  </si>
  <si>
    <t>Impediment or Dependency</t>
  </si>
  <si>
    <t>Sprint Ending on or before</t>
  </si>
  <si>
    <t xml:space="preserve">If you indicated 'Other', please specify the reason why the team did not complete the Sprint.  </t>
  </si>
  <si>
    <t>Unplanned Activity</t>
  </si>
  <si>
    <t>Total % spent on New Value Creation</t>
  </si>
  <si>
    <t>Year to Date</t>
  </si>
  <si>
    <t>Other - Indicate with X, then Specify on 'Other' Sheet</t>
  </si>
  <si>
    <t>Production Issues Significantly Increased</t>
  </si>
  <si>
    <t>Promises Kept Q2</t>
  </si>
  <si>
    <t>Promises Kept Q3</t>
  </si>
  <si>
    <t>Promises Kept Q4</t>
  </si>
  <si>
    <t>Promises Kept YTD</t>
  </si>
  <si>
    <t>Total Q3</t>
  </si>
  <si>
    <t>Total Q2</t>
  </si>
  <si>
    <t>Total Q4</t>
  </si>
  <si>
    <t>Total YTD</t>
  </si>
  <si>
    <t>Other</t>
  </si>
  <si>
    <t>Prod Issues Increased</t>
  </si>
  <si>
    <t>Support</t>
  </si>
  <si>
    <t>Originally Planned PBIs or Bugs Completed</t>
  </si>
  <si>
    <t>Originally Planned PBIs or Bugs Not Completed</t>
  </si>
  <si>
    <t>Production Bugs</t>
  </si>
  <si>
    <t>Production Support PBIs</t>
  </si>
  <si>
    <t>Non-Support PBIs</t>
  </si>
  <si>
    <t>Bugs before Production</t>
  </si>
  <si>
    <t>Automation and Innovation</t>
  </si>
  <si>
    <t>Support vs. New Value</t>
  </si>
  <si>
    <t>Sprint Completion</t>
  </si>
  <si>
    <t>Promises Kept</t>
  </si>
  <si>
    <t>New Value Created</t>
  </si>
  <si>
    <t>Continuous Improvements Completion</t>
  </si>
  <si>
    <t>Detailed Breakout of Support vs. New Value Created</t>
  </si>
  <si>
    <t>Detailed Breakout by Quarter for Support vs. New Value</t>
  </si>
  <si>
    <t>Run, Grow, Transform</t>
  </si>
  <si>
    <t>Run</t>
  </si>
  <si>
    <t>Grow</t>
  </si>
  <si>
    <t>Transform</t>
  </si>
  <si>
    <t>Support: Production Bugs</t>
  </si>
  <si>
    <t>Support: Production Support PBIs</t>
  </si>
  <si>
    <t>New Value: Non-Support PBIs</t>
  </si>
  <si>
    <t>New Value: Bugs before Production</t>
  </si>
  <si>
    <t>New Value: Automation and Innovation</t>
  </si>
  <si>
    <t>Run, Grow, Transform by Quarter</t>
  </si>
  <si>
    <t>Percentage Change of Run, Grow, Transform between Quarters</t>
  </si>
  <si>
    <t>Percentage Change between Quarters</t>
  </si>
  <si>
    <t>YTD</t>
  </si>
  <si>
    <t>Q2 - Q4</t>
  </si>
  <si>
    <t>Promises Kept Q2 - Q4</t>
  </si>
  <si>
    <t>2nd Quarter</t>
  </si>
  <si>
    <t>3rd Quarter</t>
  </si>
  <si>
    <t>4th Quarter</t>
  </si>
  <si>
    <t>Velocity - Average Completed PBIs or Bugs by Quarter</t>
  </si>
  <si>
    <t>Selected Items Completed</t>
  </si>
  <si>
    <t>Q2</t>
  </si>
  <si>
    <t>Q2 + Q3</t>
  </si>
  <si>
    <t>Q2 + Q3 +  Q4</t>
  </si>
  <si>
    <t>1. Every 2 weeks at the beginning of the Sprint Retrospective, the team fills out the Sprint Summary Report with the Scrum Master facilitating.</t>
  </si>
  <si>
    <t>Questions and Answers</t>
  </si>
  <si>
    <t>Due Date?</t>
  </si>
  <si>
    <t>What is a good goal for Promises Kept?</t>
  </si>
  <si>
    <t xml:space="preserve">     Note:  The entire team is involved in filling out the report to help build team ownership.</t>
  </si>
  <si>
    <t>How do I count the "Originally Planned PBIs or Bugs Completed?"</t>
  </si>
  <si>
    <t>How do I count the "Originally Planned PBIs or Bugs Not Completed?"</t>
  </si>
  <si>
    <t>Add On PBIs or Bugs Completed</t>
  </si>
  <si>
    <t>How do I count "Add On PBIs or Bugs Completed"</t>
  </si>
  <si>
    <t>What if the team started on an Add On PBI or Bug, yet didn't complete it in the sprint?</t>
  </si>
  <si>
    <t>Why are Add Ons not included in the Sprint Forecast Completion Percentage and Promises Kept?</t>
  </si>
  <si>
    <t>How can I track whether a PBI or Bug was not completed in the sprint?</t>
  </si>
  <si>
    <t>Do I need to submit or email the report?</t>
  </si>
  <si>
    <t>Can I select multiple reasons why a Sprint was not completed 100%?</t>
  </si>
  <si>
    <t>Yes.</t>
  </si>
  <si>
    <t>Where do I specify the "Other" reason?</t>
  </si>
  <si>
    <t>What are "automation or innovation PBIs?"</t>
  </si>
  <si>
    <t>Total up the number of PBIs or Bugs that were not completed during the Sprint, yet were originally committed to by the team during Sprint Planning to be "completed."</t>
  </si>
  <si>
    <t>How do I fill in "Support vs. New Value Creation?"</t>
  </si>
  <si>
    <t>What is Run, Grow, and Transform?</t>
  </si>
  <si>
    <t>How do you indicate if a PBI is a Concrete Improvement?</t>
  </si>
  <si>
    <t>How are Continuous Improvements determined?</t>
  </si>
  <si>
    <t>At the beginning of the title of the PBI you add "CI:" and then add the description.</t>
  </si>
  <si>
    <t>What if the team did not plan any Concrete Improvements in the last sprint?</t>
  </si>
  <si>
    <t>How do I fill in the "New Value - OTR &amp; ITRs" sheet?</t>
  </si>
  <si>
    <t>What is the purpose of this report?</t>
  </si>
  <si>
    <t>1. To help the team improve itself.</t>
  </si>
  <si>
    <t>5. To be able to communicate our overall progress and improvements to the business.</t>
  </si>
  <si>
    <t>4. To encourage the team to consistently make continuous improvements.</t>
  </si>
  <si>
    <t>Support: Bugs Found in Production - Completed</t>
  </si>
  <si>
    <t>Support: Production Support PBIs - Completed</t>
  </si>
  <si>
    <t>New Value: Non-Support PBIs - Completed</t>
  </si>
  <si>
    <t>New Value: Bugs Discovered Before Production - Completed</t>
  </si>
  <si>
    <t>New Value: Automation or Innovation PBIs - Completed</t>
  </si>
  <si>
    <t xml:space="preserve">                                                                                                            Next: Fill in the "New Value - OTR &amp; ITRs" Sheet</t>
  </si>
  <si>
    <t>Instructions for filling out the Sprint Summary Report</t>
  </si>
  <si>
    <t>If for some reason the report is not completed during the Sprint Retrospective, this report is due by Close-of-Business (COB) the day after Sprint Planning.</t>
  </si>
  <si>
    <t>2. To improve our predictability to the business.</t>
  </si>
  <si>
    <t>3. To increase focus on New Value Creation, as appropriate.</t>
  </si>
  <si>
    <t xml:space="preserve">Total up the number of PBIs or Bugs that were completed in the sprint as defined in your Sprint Planning. A PBI or Bug may be counted as completed for the sprint even if it is not closed. For example, if the goal of the sprint for a bug was to fix the bug and have it tested in ARDEV, then the bug is counted as complete for the Sprint, even though the bug is not yet closed. </t>
  </si>
  <si>
    <t xml:space="preserve">No. You only need to fill it out on the shared drive. </t>
  </si>
  <si>
    <t>The report is located at M:\Technology\Application\Sprint Summary Reports</t>
  </si>
  <si>
    <t>No. Concrete Improvements do not factor into these percentages and it has its own percentage completion.</t>
  </si>
  <si>
    <t xml:space="preserve">When a PBI is planned into a sprint, the team also plans some time to fix bugs related to the PBI that may be discovered during the sprint as a result of initial testing. These bugs are counted as "Originally Planned" even though they will be entered during the sprint as they are found. </t>
  </si>
  <si>
    <t>How do I count bugs found during a Sprint that are related to a PBI in that Sprint?</t>
  </si>
  <si>
    <t xml:space="preserve">Teams can add a simple indicator to the beginning title of a PBI or Bug, such as [S12] for Sprint 12. When the bug is planned into a future sprint, this indicator in the title tells the team the PBI or Bug was started yet not completed in Sprint 12. The indicator makes it easier to count how many items were not completed during the previous sprint.  </t>
  </si>
  <si>
    <t xml:space="preserve">Total the number of any additional PBIs or Bugs that were not originally planned in Sprint Planning that were completed during the sprint. For example, if a team member gets to the end of a sprint and cannot help out other team members on PBIs or Bugs in the sprint, then they may take a PBI or Bug from the top of the Product Backlog as an "Add On" to the Sprint. If they complete the Add On during the sprint, it is counted as an Add On. Note: The Product Owner is made aware of any Add Ons to the Sprint. An indicator is also added to the beginning title of the PBI or Bug of "[Add on]" so the team can easily identify Add Ons. </t>
  </si>
  <si>
    <t xml:space="preserve">Because Add Ons were not originally committed to during Sprint Planning, they are not counted in these percentages. Also, we want the teams to focus on completing their originally committed items in the sprint and achieving 100% sprint completion. </t>
  </si>
  <si>
    <t>This is perfectly acceptable and it gives the team a head start on the PBI or Bug for the next sprint. Any Add Ons not completed are moved back to the Prioritized Product Backlog to be considered for a future sprint. As mentioned above, if an Add On was not completed, this does not affect the Sprint Forecast Completion Percentage or Promises Kept percentages. Also, for Add Ons not completed in a sprint, you do not add the Sprint indicator to the title, for example [S12] because Add Ons were not committed to in that sprint.</t>
  </si>
  <si>
    <t>How is the Promises Kept percentage calculated?</t>
  </si>
  <si>
    <t xml:space="preserve">Promises Kept are calculated by determining how many sprints were completed, meaning completing 100% of the items the team originally committed to during Sprint Planning. For example, if the team completed 5 out of the 6 sprints by achieving 100% Sprint Completion in 5 sprints, then Promises Kept is 83%, or 5 divided by 6. </t>
  </si>
  <si>
    <t xml:space="preserve">A good goal is 80% or above. An important note is the goal for Promises Kept is not for the team to always achieve 100%, as this may cause the team to be overly cautious and not take some risks. On the other hand, we do not want teams to purposely miss completing their sprint either. A good goal would be if a team completes 5 out of every 6 sprints. </t>
  </si>
  <si>
    <t xml:space="preserve">Click on the "Other" sheet and type in the reason next to the corresponding sprint. </t>
  </si>
  <si>
    <t xml:space="preserve">You categorize all PBIs and/or Bugs that were completed during the sprint into one of these 5 categories. The total items you have listed in "Support vs. New Value Creation" should equal the total completed items in rows 3 and 6.  </t>
  </si>
  <si>
    <t>They are PBIs that are working towards automating manual processes or doing some sort of innovation work or initiative. Note: Automated System Tests are not counted under this category as these are tasks under PBI's and are expected to be automated as appropriate. If you have any questions whether a PBI falls under automation or innovation, please ask your Architect or IT Manager.</t>
  </si>
  <si>
    <t xml:space="preserve">It is another categorization similar to Support vs. New Value Creation. Run is for support items and the work needed to keep the existing applications and infrastructure up and running, including fixing of bugs found in Production. Grow is non-support work, such as work towards OTRs, ITRs, project work, initiatives, new enhancements, new features, or new applications. Transform is for PBIs that work on automation or innovation initiatives. </t>
  </si>
  <si>
    <t xml:space="preserve">As a result of the Sprint Retrospective, the team adds any Concrete Improvement(s) they plan to complete as a PBI(s) in the next sprint. A Concrete Improvement may be just a small step towards making the actual improvement, such as having an initial meeting to discuss a change. If the team completes the Concrete Improvement during the sprint, then it is counted, even if the Concrete Improvement was something done outside of the team. </t>
  </si>
  <si>
    <t>Do Concrete Improvements count towards or against the Sprint Completion or Promises Kept percentages?</t>
  </si>
  <si>
    <t>Enter 0 into the fields. Note: The percentage for that sprint will not display as 0, which is correct.</t>
  </si>
  <si>
    <t>Click on the sheet "New Value - OTR &amp; ITRs." If any PBIs during the last sprint are related to an OTR or ITR, enter the OTR or ITR number so we can create a summary report of OTRs and ITRs being worked.</t>
  </si>
  <si>
    <t xml:space="preserve">If the team worked on items in the sprint related to an OTR or ITR, list the OTR or ITR number(s) below. </t>
  </si>
  <si>
    <t>Total PBIs and Bugs Completed</t>
  </si>
  <si>
    <t>New Value PBIs and Bugs Completed</t>
  </si>
  <si>
    <t>Continuous Improvements Completed</t>
  </si>
  <si>
    <t>New Value</t>
  </si>
  <si>
    <t>Promises Kept by Sprint</t>
  </si>
  <si>
    <t>Total Q1</t>
  </si>
  <si>
    <t>Promises Kept Q1</t>
  </si>
  <si>
    <t>Predictablity - Sprint Completion</t>
  </si>
  <si>
    <t>Sprint Completion Q1 - Q4</t>
  </si>
  <si>
    <t>1st Quarter</t>
  </si>
  <si>
    <t>Average Completed PBIs or Bugs by Quarter</t>
  </si>
  <si>
    <t>x</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</si>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</sst>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m/d/yy;@"/>
    <numFmt numFmtId="165" formatCode="[$-409]d\-mmm;@"/>
    <numFmt numFmtId="166" formatCode="0.0%"/>
    <numFmt numFmtId="167" formatCode="0.00000%"/>
    <numFmt numFmtId="168" formatCode="0.0000%"/>
    <numFmt numFmtId="169" formatCode="0.000%"/>
  </numFmts>
  <fonts count="14" x14ac:knownFonts="1">
    <font>
      <sz val="11"/>
      <color theme="1"/>
      <name val="Calibri"/>
      <family val="2"/>
      <scheme val="minor"/>
    </font>
    <font>
      <b/>
      <sz val="12"/>
      <color rgb="FFFFFFFF"/>
      <name val="Calibri"/>
      <family val="2"/>
      <scheme val="minor"/>
    </font>
    <font>
      <sz val="12"/>
      <color theme="1"/>
      <name val="Calibri"/>
      <family val="2"/>
      <scheme val="minor"/>
    </font>
    <font>
      <b/>
      <sz val="16"/>
      <color theme="1"/>
      <name val="Calibri"/>
      <family val="2"/>
      <scheme val="minor"/>
    </font>
    <font>
      <sz val="11"/>
      <color theme="1"/>
      <name val="Calibri"/>
      <family val="2"/>
      <scheme val="minor"/>
    </font>
    <font>
      <b/>
      <sz val="12"/>
      <color theme="3"/>
      <name val="Calibri"/>
      <family val="2"/>
      <scheme val="minor"/>
    </font>
    <font>
      <sz val="12"/>
      <color theme="3"/>
      <name val="Calibri"/>
      <family val="2"/>
      <scheme val="minor"/>
    </font>
    <font>
      <b/>
      <sz val="12"/>
      <color theme="1"/>
      <name val="Calibri"/>
      <family val="2"/>
      <scheme val="minor"/>
    </font>
    <font>
      <sz val="9"/>
      <color indexed="81"/>
      <name val="Tahoma"/>
      <family val="2"/>
    </font>
    <font>
      <b/>
      <sz val="9"/>
      <color indexed="81"/>
      <name val="Tahoma"/>
      <family val="2"/>
    </font>
    <font>
      <b/>
      <sz val="11"/>
      <color theme="1"/>
      <name val="Calibri"/>
      <family val="2"/>
      <scheme val="minor"/>
    </font>
    <font>
      <sz val="16"/>
      <color theme="1"/>
      <name val="Calibri"/>
      <family val="2"/>
      <scheme val="minor"/>
    </font>
    <font>
      <b/>
      <sz val="18"/>
      <color theme="1"/>
      <name val="Calibri"/>
      <family val="2"/>
      <scheme val="minor"/>
    </font>
    <font>
      <b/>
      <sz val="12"/>
      <color rgb="FFFF0000"/>
      <name val="Calibri"/>
      <family val="2"/>
      <scheme val="minor"/>
    </font>
  </fonts>
  <fills count="6">
    <fill>
      <patternFill patternType="none"/>
    </fill>
    <fill>
      <patternFill patternType="gray125"/>
    </fill>
    <fill>
      <patternFill patternType="solid">
        <fgColor rgb="FF3D5277"/>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rgb="FF92D05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rgb="FFFFFFFF"/>
      </right>
      <top style="thin">
        <color indexed="64"/>
      </top>
      <bottom style="thin">
        <color indexed="64"/>
      </bottom>
      <diagonal/>
    </border>
    <border>
      <left/>
      <right style="medium">
        <color rgb="FFFFFFFF"/>
      </right>
      <top style="thin">
        <color indexed="64"/>
      </top>
      <bottom style="thin">
        <color indexed="64"/>
      </bottom>
      <diagonal/>
    </border>
    <border>
      <left style="medium">
        <color rgb="FFFFFFFF"/>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9" fontId="4" fillId="0" borderId="0" applyFont="0" applyFill="0" applyBorder="0" applyAlignment="0" applyProtection="0"/>
  </cellStyleXfs>
  <cellXfs count="83">
    <xf numFmtId="0" fontId="0" fillId="0" borderId="0" xfId="0"/>
    <xf numFmtId="0" fontId="2" fillId="0" borderId="0" xfId="0" applyFont="1"/>
    <xf numFmtId="0" fontId="2" fillId="0" borderId="1" xfId="0" applyFont="1" applyBorder="1"/>
    <xf numFmtId="14" fontId="2" fillId="0" borderId="1" xfId="0" applyNumberFormat="1" applyFont="1" applyBorder="1"/>
    <xf numFmtId="1" fontId="2" fillId="0" borderId="1" xfId="0" applyNumberFormat="1" applyFont="1" applyBorder="1"/>
    <xf numFmtId="1" fontId="2" fillId="0" borderId="0" xfId="0" applyNumberFormat="1" applyFont="1" applyAlignment="1">
      <alignment wrapText="1"/>
    </xf>
    <xf numFmtId="1" fontId="2" fillId="0" borderId="0" xfId="0" applyNumberFormat="1" applyFont="1"/>
    <xf numFmtId="9" fontId="2" fillId="0" borderId="1" xfId="0" applyNumberFormat="1" applyFont="1" applyBorder="1"/>
    <xf numFmtId="164" fontId="1" fillId="2" borderId="5" xfId="0" applyNumberFormat="1" applyFont="1" applyFill="1" applyBorder="1" applyAlignment="1">
      <alignment horizontal="right" vertical="center" wrapText="1"/>
    </xf>
    <xf numFmtId="164" fontId="2" fillId="0" borderId="0" xfId="0" applyNumberFormat="1" applyFont="1" applyAlignment="1"/>
    <xf numFmtId="0" fontId="0" fillId="0" borderId="0" xfId="0" applyAlignment="1">
      <alignment wrapText="1"/>
    </xf>
    <xf numFmtId="165" fontId="1" fillId="2" borderId="6" xfId="0" applyNumberFormat="1" applyFont="1" applyFill="1" applyBorder="1" applyAlignment="1">
      <alignment vertical="center" wrapText="1"/>
    </xf>
    <xf numFmtId="0" fontId="0" fillId="0" borderId="1" xfId="0" applyBorder="1" applyAlignment="1">
      <alignment wrapText="1"/>
    </xf>
    <xf numFmtId="0" fontId="3" fillId="3" borderId="1" xfId="0" applyFont="1" applyFill="1" applyBorder="1" applyAlignment="1">
      <alignment wrapText="1"/>
    </xf>
    <xf numFmtId="0" fontId="2" fillId="0" borderId="2" xfId="0" applyFont="1" applyBorder="1"/>
    <xf numFmtId="165" fontId="1" fillId="2" borderId="6" xfId="0" applyNumberFormat="1" applyFont="1" applyFill="1" applyBorder="1" applyAlignment="1">
      <alignment horizontal="right" vertical="center" wrapText="1"/>
    </xf>
    <xf numFmtId="1" fontId="2" fillId="0" borderId="1" xfId="1" applyNumberFormat="1" applyFont="1" applyBorder="1"/>
    <xf numFmtId="14" fontId="0" fillId="0" borderId="0" xfId="0" applyNumberFormat="1"/>
    <xf numFmtId="9" fontId="2" fillId="0" borderId="0" xfId="0" applyNumberFormat="1" applyFont="1"/>
    <xf numFmtId="1" fontId="5" fillId="4" borderId="1" xfId="0" applyNumberFormat="1" applyFont="1" applyFill="1" applyBorder="1"/>
    <xf numFmtId="1" fontId="5" fillId="4" borderId="1" xfId="0" applyNumberFormat="1" applyFont="1" applyFill="1" applyBorder="1" applyAlignment="1">
      <alignment horizontal="right"/>
    </xf>
    <xf numFmtId="9" fontId="5" fillId="4" borderId="1" xfId="0" applyNumberFormat="1" applyFont="1" applyFill="1" applyBorder="1"/>
    <xf numFmtId="1" fontId="5" fillId="4" borderId="1" xfId="1" applyNumberFormat="1" applyFont="1" applyFill="1" applyBorder="1"/>
    <xf numFmtId="0" fontId="5" fillId="4" borderId="1" xfId="0" applyFont="1" applyFill="1" applyBorder="1"/>
    <xf numFmtId="10" fontId="2" fillId="0" borderId="0" xfId="0" applyNumberFormat="1" applyFont="1"/>
    <xf numFmtId="1" fontId="2" fillId="0" borderId="1" xfId="0" applyNumberFormat="1" applyFont="1" applyBorder="1" applyProtection="1"/>
    <xf numFmtId="1" fontId="2" fillId="0" borderId="1" xfId="0" applyNumberFormat="1" applyFont="1" applyBorder="1" applyAlignment="1" applyProtection="1">
      <alignment horizontal="right"/>
    </xf>
    <xf numFmtId="1" fontId="2" fillId="0" borderId="1" xfId="1" applyNumberFormat="1" applyFont="1" applyBorder="1" applyProtection="1"/>
    <xf numFmtId="1" fontId="6" fillId="4" borderId="1" xfId="0" applyNumberFormat="1" applyFont="1" applyFill="1" applyBorder="1"/>
    <xf numFmtId="9" fontId="6" fillId="4" borderId="1" xfId="0" applyNumberFormat="1" applyFont="1" applyFill="1" applyBorder="1"/>
    <xf numFmtId="0" fontId="2" fillId="5" borderId="1" xfId="0" applyFont="1" applyFill="1" applyBorder="1"/>
    <xf numFmtId="9" fontId="2" fillId="5" borderId="1" xfId="0" applyNumberFormat="1" applyFont="1" applyFill="1" applyBorder="1"/>
    <xf numFmtId="9" fontId="5" fillId="5" borderId="1" xfId="1" applyNumberFormat="1" applyFont="1" applyFill="1" applyBorder="1"/>
    <xf numFmtId="9" fontId="5" fillId="5" borderId="1" xfId="0" applyNumberFormat="1" applyFont="1" applyFill="1" applyBorder="1"/>
    <xf numFmtId="0" fontId="5" fillId="5" borderId="1" xfId="0" applyFont="1" applyFill="1" applyBorder="1"/>
    <xf numFmtId="0" fontId="2" fillId="0" borderId="0" xfId="0" applyFont="1" applyFill="1"/>
    <xf numFmtId="165" fontId="1" fillId="2" borderId="7" xfId="0" applyNumberFormat="1" applyFont="1" applyFill="1" applyBorder="1" applyAlignment="1">
      <alignment horizontal="right" vertical="center" wrapText="1"/>
    </xf>
    <xf numFmtId="0" fontId="7" fillId="0" borderId="0" xfId="0" applyFont="1"/>
    <xf numFmtId="9" fontId="2" fillId="0" borderId="0" xfId="0" applyNumberFormat="1" applyFont="1" applyAlignment="1">
      <alignment wrapText="1"/>
    </xf>
    <xf numFmtId="9" fontId="2" fillId="0" borderId="0" xfId="1" applyFont="1" applyAlignment="1">
      <alignment wrapText="1"/>
    </xf>
    <xf numFmtId="0" fontId="0" fillId="0" borderId="1" xfId="0" applyBorder="1" applyAlignment="1" applyProtection="1">
      <alignment wrapText="1"/>
    </xf>
    <xf numFmtId="164" fontId="1" fillId="2" borderId="6" xfId="0" applyNumberFormat="1" applyFont="1" applyFill="1" applyBorder="1" applyAlignment="1">
      <alignment horizontal="right" vertical="center" wrapText="1"/>
    </xf>
    <xf numFmtId="166" fontId="2" fillId="0" borderId="0" xfId="0" applyNumberFormat="1" applyFont="1"/>
    <xf numFmtId="167" fontId="2" fillId="0" borderId="0" xfId="0" applyNumberFormat="1" applyFont="1"/>
    <xf numFmtId="168" fontId="2" fillId="0" borderId="0" xfId="0" applyNumberFormat="1" applyFont="1"/>
    <xf numFmtId="9" fontId="2" fillId="4" borderId="0" xfId="0" applyNumberFormat="1" applyFont="1" applyFill="1"/>
    <xf numFmtId="1" fontId="7" fillId="0" borderId="0" xfId="0" applyNumberFormat="1" applyFont="1" applyAlignment="1">
      <alignment horizontal="right"/>
    </xf>
    <xf numFmtId="169" fontId="2" fillId="0" borderId="0" xfId="1" applyNumberFormat="1" applyFont="1"/>
    <xf numFmtId="9" fontId="2" fillId="0" borderId="0" xfId="0" applyNumberFormat="1" applyFont="1" applyAlignment="1">
      <alignment horizontal="left" indent="5"/>
    </xf>
    <xf numFmtId="1" fontId="2" fillId="0" borderId="2" xfId="0" applyNumberFormat="1" applyFont="1" applyBorder="1"/>
    <xf numFmtId="1" fontId="7" fillId="0" borderId="0" xfId="0" applyNumberFormat="1" applyFont="1" applyAlignment="1">
      <alignment horizontal="left" wrapText="1"/>
    </xf>
    <xf numFmtId="1" fontId="7" fillId="0" borderId="0" xfId="0" applyNumberFormat="1" applyFont="1" applyAlignment="1">
      <alignment horizontal="left"/>
    </xf>
    <xf numFmtId="0" fontId="2" fillId="4" borderId="1" xfId="0" applyFont="1" applyFill="1" applyBorder="1" applyAlignment="1">
      <alignment horizontal="center" vertical="center"/>
    </xf>
    <xf numFmtId="0" fontId="2" fillId="0" borderId="1" xfId="0" applyFont="1" applyBorder="1" applyAlignment="1">
      <alignment wrapText="1"/>
    </xf>
    <xf numFmtId="0" fontId="2" fillId="0" borderId="1" xfId="0" applyFont="1" applyBorder="1" applyAlignment="1" applyProtection="1">
      <alignment wrapText="1"/>
    </xf>
    <xf numFmtId="0" fontId="2" fillId="0" borderId="1" xfId="0" applyNumberFormat="1" applyFont="1" applyBorder="1" applyAlignment="1">
      <alignment horizontal="right"/>
    </xf>
    <xf numFmtId="0" fontId="0" fillId="0" borderId="0" xfId="0" applyAlignment="1">
      <alignment horizontal="left" wrapText="1"/>
    </xf>
    <xf numFmtId="0" fontId="10" fillId="0" borderId="0" xfId="0" applyFont="1" applyAlignment="1">
      <alignment horizontal="left" wrapText="1"/>
    </xf>
    <xf numFmtId="0" fontId="0" fillId="0" borderId="0" xfId="0" applyBorder="1" applyAlignment="1">
      <alignment wrapText="1"/>
    </xf>
    <xf numFmtId="0" fontId="12" fillId="0" borderId="0" xfId="0" applyFont="1" applyFill="1" applyBorder="1" applyAlignment="1">
      <alignment horizontal="left" wrapText="1"/>
    </xf>
    <xf numFmtId="0" fontId="11" fillId="0" borderId="0" xfId="0" applyFont="1" applyFill="1" applyBorder="1" applyAlignment="1">
      <alignment horizontal="left" wrapText="1"/>
    </xf>
    <xf numFmtId="0" fontId="10" fillId="0" borderId="0" xfId="0" applyFont="1" applyAlignment="1">
      <alignment wrapText="1"/>
    </xf>
    <xf numFmtId="0" fontId="10" fillId="0" borderId="0" xfId="0" applyFont="1" applyBorder="1" applyAlignment="1">
      <alignment wrapText="1"/>
    </xf>
    <xf numFmtId="0" fontId="2" fillId="0" borderId="1" xfId="0" applyFont="1" applyBorder="1" applyAlignment="1">
      <alignment horizontal="left"/>
    </xf>
    <xf numFmtId="165" fontId="2" fillId="0" borderId="1" xfId="0" applyNumberFormat="1" applyFont="1" applyBorder="1"/>
    <xf numFmtId="0" fontId="13" fillId="0" borderId="0" xfId="0" applyFont="1" applyAlignment="1">
      <alignment wrapText="1"/>
    </xf>
    <xf numFmtId="0" fontId="13" fillId="0" borderId="0" xfId="0" applyFont="1"/>
    <xf numFmtId="9" fontId="5" fillId="4" borderId="1" xfId="0" applyNumberFormat="1" applyFont="1" applyFill="1" applyBorder="1" applyAlignment="1">
      <alignment horizontal="right"/>
    </xf>
    <xf numFmtId="0" fontId="0" fillId="0" borderId="1" xfId="0" applyBorder="1"/>
    <xf numFmtId="165" fontId="0" fillId="0" borderId="1" xfId="0" applyNumberFormat="1" applyBorder="1"/>
    <xf numFmtId="0" fontId="10" fillId="0" borderId="0" xfId="0" applyFont="1" applyAlignment="1">
      <alignment horizontal="center"/>
    </xf>
    <xf numFmtId="1" fontId="2" fillId="0" borderId="1" xfId="0" applyNumberFormat="1" applyFont="1" applyBorder="1" applyAlignment="1">
      <alignment wrapText="1"/>
    </xf>
    <xf numFmtId="0" fontId="3" fillId="3" borderId="2" xfId="0" applyFont="1" applyFill="1" applyBorder="1" applyAlignment="1">
      <alignment horizontal="left"/>
    </xf>
    <xf numFmtId="0" fontId="3" fillId="3" borderId="3" xfId="0" applyFont="1" applyFill="1" applyBorder="1" applyAlignment="1">
      <alignment horizontal="left"/>
    </xf>
    <xf numFmtId="0" fontId="3" fillId="3" borderId="4" xfId="0" applyFont="1" applyFill="1" applyBorder="1" applyAlignment="1">
      <alignment horizontal="left"/>
    </xf>
    <xf numFmtId="0" fontId="2" fillId="4" borderId="8" xfId="0" applyFont="1" applyFill="1" applyBorder="1" applyAlignment="1">
      <alignment horizontal="center" vertical="center"/>
    </xf>
    <xf numFmtId="0" fontId="2" fillId="4" borderId="9" xfId="0" applyFont="1" applyFill="1" applyBorder="1" applyAlignment="1">
      <alignment horizontal="center" vertical="center"/>
    </xf>
    <xf numFmtId="0" fontId="7" fillId="3" borderId="2" xfId="0" applyFont="1" applyFill="1" applyBorder="1" applyAlignment="1">
      <alignment horizontal="left"/>
    </xf>
    <xf numFmtId="0" fontId="7" fillId="3" borderId="3" xfId="0" applyFont="1" applyFill="1" applyBorder="1" applyAlignment="1">
      <alignment horizontal="left"/>
    </xf>
    <xf numFmtId="0" fontId="7" fillId="3" borderId="4" xfId="0" applyFont="1" applyFill="1" applyBorder="1" applyAlignment="1">
      <alignment horizontal="left"/>
    </xf>
    <xf numFmtId="0" fontId="3" fillId="3" borderId="2" xfId="0" applyFont="1" applyFill="1" applyBorder="1" applyAlignment="1">
      <alignment horizontal="center" wrapText="1"/>
    </xf>
    <xf numFmtId="0" fontId="3" fillId="3" borderId="3" xfId="0" applyFont="1" applyFill="1" applyBorder="1" applyAlignment="1">
      <alignment horizontal="center" wrapText="1"/>
    </xf>
    <xf numFmtId="0" fontId="3" fillId="3" borderId="4" xfId="0" applyFont="1" applyFill="1" applyBorder="1" applyAlignment="1">
      <alignment horizontal="center" wrapText="1"/>
    </xf>
  </cellXfs>
  <cellStyles count="2">
    <cellStyle name="Normal" xfId="0" builtinId="0"/>
    <cellStyle name="Percent" xfId="1" builtinId="5"/>
  </cellStyles>
  <dxfs count="58">
    <dxf>
      <font>
        <color theme="0" tint="-4.9989318521683403E-2"/>
      </font>
    </dxf>
    <dxf>
      <font>
        <color theme="0"/>
      </font>
    </dxf>
    <dxf>
      <font>
        <color theme="0"/>
      </font>
    </dxf>
    <dxf>
      <font>
        <color theme="0"/>
      </font>
    </dxf>
    <dxf>
      <font>
        <color theme="0"/>
      </font>
    </dxf>
    <dxf>
      <font>
        <color theme="0"/>
      </font>
    </dxf>
    <dxf>
      <font>
        <color rgb="FF92D050"/>
      </font>
    </dxf>
    <dxf>
      <font>
        <color theme="0" tint="-4.9989318521683403E-2"/>
      </font>
    </dxf>
    <dxf>
      <font>
        <color theme="0"/>
      </font>
    </dxf>
    <dxf>
      <font>
        <color theme="0"/>
      </font>
    </dxf>
    <dxf>
      <font>
        <color theme="0"/>
      </font>
    </dxf>
    <dxf>
      <font>
        <color theme="0"/>
      </font>
    </dxf>
    <dxf>
      <font>
        <color theme="0"/>
      </font>
    </dxf>
    <dxf>
      <font>
        <color theme="0"/>
      </font>
    </dxf>
    <dxf>
      <font>
        <color theme="0"/>
      </font>
    </dxf>
    <dxf>
      <font>
        <color theme="0"/>
      </font>
    </dxf>
    <dxf>
      <font>
        <color rgb="FF92D050"/>
      </font>
    </dxf>
    <dxf>
      <font>
        <color theme="0" tint="-4.9989318521683403E-2"/>
      </font>
    </dxf>
    <dxf>
      <font>
        <color theme="0"/>
      </font>
    </dxf>
    <dxf>
      <font>
        <color theme="0" tint="-4.9989318521683403E-2"/>
      </font>
    </dxf>
    <dxf>
      <font>
        <color theme="0"/>
      </font>
    </dxf>
    <dxf>
      <font>
        <color rgb="FF92D050"/>
      </font>
    </dxf>
    <dxf>
      <font>
        <color rgb="FF92D050"/>
      </font>
    </dxf>
    <dxf>
      <font>
        <color rgb="FF92D050"/>
      </font>
    </dxf>
    <dxf>
      <font>
        <color theme="0"/>
      </font>
    </dxf>
    <dxf>
      <font>
        <color theme="0" tint="-4.9989318521683403E-2"/>
      </font>
    </dxf>
    <dxf>
      <font>
        <color theme="0" tint="-4.9989318521683403E-2"/>
      </font>
    </dxf>
    <dxf>
      <font>
        <color theme="0"/>
      </font>
    </dxf>
    <dxf>
      <font>
        <color theme="0"/>
      </font>
    </dxf>
    <dxf>
      <font>
        <color theme="0"/>
      </font>
    </dxf>
    <dxf>
      <font>
        <color theme="0"/>
      </font>
    </dxf>
    <dxf>
      <font>
        <color theme="0"/>
      </font>
    </dxf>
    <dxf>
      <font>
        <color theme="0"/>
      </font>
    </dxf>
    <dxf>
      <font>
        <color theme="0"/>
      </font>
    </dxf>
    <dxf>
      <font>
        <color rgb="FF92D050"/>
      </font>
    </dxf>
    <dxf>
      <font>
        <color theme="0"/>
      </font>
    </dxf>
    <dxf>
      <font>
        <color theme="0"/>
      </font>
    </dxf>
    <dxf>
      <font>
        <color rgb="FF92D050"/>
      </font>
    </dxf>
    <dxf>
      <font>
        <color theme="0"/>
      </font>
    </dxf>
    <dxf>
      <font>
        <color theme="0" tint="-4.9989318521683403E-2"/>
      </font>
    </dxf>
    <dxf>
      <font>
        <color theme="0" tint="-4.9989318521683403E-2"/>
      </font>
    </dxf>
    <dxf>
      <font>
        <color theme="0" tint="-4.9989318521683403E-2"/>
      </font>
    </dxf>
    <dxf>
      <font>
        <color theme="0"/>
      </font>
    </dxf>
    <dxf>
      <font>
        <color theme="0"/>
      </font>
    </dxf>
    <dxf>
      <font>
        <color theme="0"/>
      </font>
    </dxf>
    <dxf>
      <font>
        <color theme="0"/>
      </font>
    </dxf>
    <dxf>
      <font>
        <color theme="0"/>
      </font>
    </dxf>
    <dxf>
      <font>
        <color theme="0"/>
      </font>
    </dxf>
    <dxf>
      <font>
        <color rgb="FF92D050"/>
      </font>
    </dxf>
    <dxf>
      <font>
        <color theme="0"/>
      </font>
    </dxf>
    <dxf>
      <font>
        <color rgb="FF92D050"/>
      </font>
    </dxf>
    <dxf>
      <font>
        <color theme="0" tint="-4.9989318521683403E-2"/>
      </font>
    </dxf>
    <dxf>
      <font>
        <color theme="0" tint="-4.9989318521683403E-2"/>
      </font>
    </dxf>
    <dxf>
      <font>
        <color theme="0"/>
      </font>
    </dxf>
    <dxf>
      <font>
        <color theme="0" tint="-4.9989318521683403E-2"/>
      </font>
    </dxf>
    <dxf>
      <font>
        <color theme="0" tint="-4.9989318521683403E-2"/>
      </font>
    </dxf>
    <dxf>
      <font>
        <color rgb="FF92D050"/>
      </font>
    </dxf>
    <dxf>
      <font>
        <color theme="0"/>
      </font>
    </dxf>
  </dxfs>
  <tableStyles count="0" defaultTableStyle="TableStyleMedium9" defaultPivotStyle="PivotStyleLight16"/>
  <colors>
    <mruColors>
      <color rgb="FF00FF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7030A0"/>
  </sheetPr>
  <dimension ref="A1:AC171"/>
  <sheetViews>
    <sheetView zoomScaleNormal="100" workbookViewId="0">
      <pane xSplit="1" ySplit="1" topLeftCell="W12" activePane="bottomRight" state="frozen"/>
      <selection activeCell="B21" sqref="B21:G22"/>
      <selection pane="topRight" activeCell="B21" sqref="B21:G22"/>
      <selection pane="bottomLeft" activeCell="B21" sqref="B21:G22"/>
      <selection pane="bottomRight" activeCell="AB19" sqref="AB19"/>
    </sheetView>
  </sheetViews>
  <sheetFormatPr defaultRowHeight="15.75" x14ac:dyDescent="0.25"/>
  <cols>
    <col min="1" max="1" width="66.28515625" style="1" customWidth="1"/>
    <col min="2" max="8" width="11" style="1" customWidth="1"/>
    <col min="9" max="9" width="11.28515625" style="5" customWidth="1"/>
    <col min="10" max="12" width="11.28515625" style="6" customWidth="1"/>
    <col min="13" max="27" width="11.28515625" style="1" customWidth="1"/>
    <col min="28" max="29" width="14.28515625" style="1" customWidth="1"/>
    <col min="30" max="16384" width="9.140625" style="1"/>
  </cols>
  <sheetData>
    <row r="1" spans="1:29" s="9" customFormat="1" ht="31.5" customHeight="1" x14ac:dyDescent="0.25">
      <c r="A1" s="15" t="s">
        <v>1</v>
      </c>
      <c r="B1" s="11">
        <v>43468</v>
      </c>
      <c r="C1" s="11">
        <v>43482</v>
      </c>
      <c r="D1" s="11">
        <v>43496</v>
      </c>
      <c r="E1" s="11">
        <v>43510</v>
      </c>
      <c r="F1" s="11">
        <v>43524</v>
      </c>
      <c r="G1" s="11">
        <v>43537</v>
      </c>
      <c r="H1" s="11">
        <v>43551</v>
      </c>
      <c r="I1" s="11">
        <v>43565</v>
      </c>
      <c r="J1" s="11">
        <v>43579</v>
      </c>
      <c r="K1" s="11">
        <v>43593</v>
      </c>
      <c r="L1" s="11">
        <v>43607</v>
      </c>
      <c r="M1" s="11">
        <v>43621</v>
      </c>
      <c r="N1" s="11">
        <v>43635</v>
      </c>
      <c r="O1" s="11">
        <v>43649</v>
      </c>
      <c r="P1" s="11">
        <v>43663</v>
      </c>
      <c r="Q1" s="11">
        <v>43677</v>
      </c>
      <c r="R1" s="11">
        <v>43691</v>
      </c>
      <c r="S1" s="11">
        <v>43705</v>
      </c>
      <c r="T1" s="11">
        <v>43719</v>
      </c>
      <c r="U1" s="11">
        <v>43733</v>
      </c>
      <c r="V1" s="11">
        <v>43747</v>
      </c>
      <c r="W1" s="11">
        <v>43761</v>
      </c>
      <c r="X1" s="11">
        <v>43775</v>
      </c>
      <c r="Y1" s="11">
        <v>43789</v>
      </c>
      <c r="Z1" s="11">
        <v>43803</v>
      </c>
      <c r="AA1" s="11">
        <v>43817</v>
      </c>
      <c r="AB1" s="15" t="s">
        <v>15</v>
      </c>
      <c r="AC1" s="15" t="s">
        <v>21</v>
      </c>
    </row>
    <row r="2" spans="1:29" ht="24" customHeight="1" x14ac:dyDescent="0.35">
      <c r="A2" s="72" t="s">
        <v>5</v>
      </c>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4"/>
    </row>
    <row r="3" spans="1:29" ht="24" customHeight="1" x14ac:dyDescent="0.25">
      <c r="A3" s="3" t="s">
        <v>29</v>
      </c>
      <c r="B3" s="4">
        <f>'Sprint Summary Q1'!B3</f>
        <v>0</v>
      </c>
      <c r="C3" s="4">
        <f>'Sprint Summary Q1'!C3</f>
        <v>5</v>
      </c>
      <c r="D3" s="4">
        <f>'Sprint Summary Q1'!D3</f>
        <v>4</v>
      </c>
      <c r="E3" s="4">
        <f>'Sprint Summary Q1'!E3</f>
        <v>8</v>
      </c>
      <c r="F3" s="4">
        <f>'Sprint Summary Q1'!F3</f>
        <v>7</v>
      </c>
      <c r="G3" s="4">
        <f>'Sprint Summary Q1'!G3</f>
        <v>7</v>
      </c>
      <c r="H3" s="4">
        <f>'Sprint Summary Q1'!H3</f>
        <v>9</v>
      </c>
      <c r="I3" s="4">
        <f>'Sprint Summary Q2'!B3</f>
        <v>9</v>
      </c>
      <c r="J3" s="4">
        <f>'Sprint Summary Q2'!C3</f>
        <v>6</v>
      </c>
      <c r="K3" s="4">
        <f>'Sprint Summary Q2'!D3</f>
        <v>0</v>
      </c>
      <c r="L3" s="4">
        <f>'Sprint Summary Q2'!E3</f>
        <v>0</v>
      </c>
      <c r="M3" s="4">
        <f>'Sprint Summary Q2'!F3</f>
        <v>0</v>
      </c>
      <c r="N3" s="4">
        <f>'Sprint Summary Q2'!G3</f>
        <v>0</v>
      </c>
      <c r="O3" s="4">
        <f>'Sprint Summary Q3'!B3</f>
        <v>0</v>
      </c>
      <c r="P3" s="4">
        <f>'Sprint Summary Q3'!C3</f>
        <v>0</v>
      </c>
      <c r="Q3" s="4">
        <f>'Sprint Summary Q3'!D3</f>
        <v>0</v>
      </c>
      <c r="R3" s="4">
        <f>'Sprint Summary Q3'!E3</f>
        <v>0</v>
      </c>
      <c r="S3" s="4">
        <f>'Sprint Summary Q3'!F3</f>
        <v>0</v>
      </c>
      <c r="T3" s="4">
        <f>'Sprint Summary Q3'!G3</f>
        <v>0</v>
      </c>
      <c r="U3" s="4">
        <f>'Sprint Summary Q3'!H3</f>
        <v>0</v>
      </c>
      <c r="V3" s="4">
        <f>'Sprint Summary Q4'!B3</f>
        <v>0</v>
      </c>
      <c r="W3" s="4">
        <f>'Sprint Summary Q4'!C3</f>
        <v>0</v>
      </c>
      <c r="X3" s="4">
        <f>'Sprint Summary Q4'!D3</f>
        <v>0</v>
      </c>
      <c r="Y3" s="4">
        <f>'Sprint Summary Q4'!E3</f>
        <v>0</v>
      </c>
      <c r="Z3" s="4">
        <f>'Sprint Summary Q4'!F3</f>
        <v>0</v>
      </c>
      <c r="AA3" s="4">
        <f>'Sprint Summary Q4'!G3</f>
        <v>0</v>
      </c>
      <c r="AB3" s="19">
        <f>SUM(B3:AA3)</f>
        <v>55</v>
      </c>
      <c r="AC3" s="23"/>
    </row>
    <row r="4" spans="1:29" ht="24" customHeight="1" x14ac:dyDescent="0.25">
      <c r="A4" s="2" t="s">
        <v>30</v>
      </c>
      <c r="B4" s="4">
        <f>'Sprint Summary Q1'!B4</f>
        <v>0</v>
      </c>
      <c r="C4" s="4">
        <f>'Sprint Summary Q1'!C4</f>
        <v>0</v>
      </c>
      <c r="D4" s="4">
        <f>'Sprint Summary Q1'!D4</f>
        <v>1</v>
      </c>
      <c r="E4" s="4">
        <f>'Sprint Summary Q1'!E4</f>
        <v>1</v>
      </c>
      <c r="F4" s="4">
        <f>'Sprint Summary Q1'!F4</f>
        <v>0</v>
      </c>
      <c r="G4" s="4">
        <f>'Sprint Summary Q1'!G4</f>
        <v>0</v>
      </c>
      <c r="H4" s="4">
        <f>'Sprint Summary Q1'!H4</f>
        <v>0</v>
      </c>
      <c r="I4" s="4">
        <f>'Sprint Summary Q2'!B4</f>
        <v>2</v>
      </c>
      <c r="J4" s="4">
        <f>'Sprint Summary Q2'!C4</f>
        <v>0</v>
      </c>
      <c r="K4" s="4">
        <f>'Sprint Summary Q2'!D4</f>
        <v>0</v>
      </c>
      <c r="L4" s="4">
        <f>'Sprint Summary Q2'!E4</f>
        <v>0</v>
      </c>
      <c r="M4" s="4">
        <f>'Sprint Summary Q2'!F4</f>
        <v>0</v>
      </c>
      <c r="N4" s="4">
        <f>'Sprint Summary Q2'!G4</f>
        <v>0</v>
      </c>
      <c r="O4" s="4">
        <f>'Sprint Summary Q3'!B4</f>
        <v>0</v>
      </c>
      <c r="P4" s="4">
        <f>'Sprint Summary Q3'!C4</f>
        <v>0</v>
      </c>
      <c r="Q4" s="4">
        <f>'Sprint Summary Q3'!D4</f>
        <v>0</v>
      </c>
      <c r="R4" s="4">
        <f>'Sprint Summary Q3'!E4</f>
        <v>0</v>
      </c>
      <c r="S4" s="4">
        <f>'Sprint Summary Q3'!F4</f>
        <v>0</v>
      </c>
      <c r="T4" s="4">
        <f>'Sprint Summary Q3'!G4</f>
        <v>0</v>
      </c>
      <c r="U4" s="4">
        <f>'Sprint Summary Q3'!H4</f>
        <v>0</v>
      </c>
      <c r="V4" s="4">
        <f>'Sprint Summary Q4'!B4</f>
        <v>0</v>
      </c>
      <c r="W4" s="4">
        <f>'Sprint Summary Q4'!C4</f>
        <v>0</v>
      </c>
      <c r="X4" s="4">
        <f>'Sprint Summary Q4'!D4</f>
        <v>0</v>
      </c>
      <c r="Y4" s="4">
        <f>'Sprint Summary Q4'!E4</f>
        <v>0</v>
      </c>
      <c r="Z4" s="4">
        <f>'Sprint Summary Q4'!F4</f>
        <v>0</v>
      </c>
      <c r="AA4" s="4">
        <f>'Sprint Summary Q4'!G4</f>
        <v>0</v>
      </c>
      <c r="AB4" s="19">
        <f>SUM(B4:AA4)</f>
        <v>4</v>
      </c>
      <c r="AC4" s="23"/>
    </row>
    <row r="5" spans="1:29" ht="24" customHeight="1" x14ac:dyDescent="0.25">
      <c r="A5" s="2" t="s">
        <v>3</v>
      </c>
      <c r="B5" s="7">
        <f>'Sprint Summary Q1'!B5</f>
        <v>0</v>
      </c>
      <c r="C5" s="7">
        <f>'Sprint Summary Q1'!C5</f>
        <v>1</v>
      </c>
      <c r="D5" s="7">
        <f>'Sprint Summary Q1'!D5</f>
        <v>0.8</v>
      </c>
      <c r="E5" s="7">
        <f>'Sprint Summary Q1'!E5</f>
        <v>0.88888888888888884</v>
      </c>
      <c r="F5" s="7">
        <f>'Sprint Summary Q1'!F5</f>
        <v>1</v>
      </c>
      <c r="G5" s="7">
        <f>'Sprint Summary Q1'!G5</f>
        <v>1</v>
      </c>
      <c r="H5" s="7">
        <f>'Sprint Summary Q1'!H5</f>
        <v>1</v>
      </c>
      <c r="I5" s="7">
        <f>IFERROR('Sprint Summary Q2'!B5,NA())</f>
        <v>0.81818181818181823</v>
      </c>
      <c r="J5" s="7">
        <f>IFERROR('Sprint Summary Q2'!C5,NA())</f>
        <v>1</v>
      </c>
      <c r="K5" s="7" t="e">
        <f>IFERROR('Sprint Summary Q2'!D5,NA())</f>
        <v>#N/A</v>
      </c>
      <c r="L5" s="7" t="e">
        <f>IFERROR('Sprint Summary Q2'!E5,NA())</f>
        <v>#N/A</v>
      </c>
      <c r="M5" s="7" t="e">
        <f>IFERROR('Sprint Summary Q2'!F5,NA())</f>
        <v>#N/A</v>
      </c>
      <c r="N5" s="7" t="e">
        <f>IFERROR('Sprint Summary Q2'!G5,NA())</f>
        <v>#N/A</v>
      </c>
      <c r="O5" s="7" t="e">
        <f>'Sprint Summary Q3'!B5</f>
        <v>#N/A</v>
      </c>
      <c r="P5" s="7" t="e">
        <f>'Sprint Summary Q3'!C5</f>
        <v>#N/A</v>
      </c>
      <c r="Q5" s="7" t="e">
        <f>'Sprint Summary Q3'!D5</f>
        <v>#N/A</v>
      </c>
      <c r="R5" s="7" t="e">
        <f>'Sprint Summary Q3'!E5</f>
        <v>#N/A</v>
      </c>
      <c r="S5" s="7" t="e">
        <f>'Sprint Summary Q3'!F5</f>
        <v>#N/A</v>
      </c>
      <c r="T5" s="7" t="e">
        <f>'Sprint Summary Q3'!G5</f>
        <v>#N/A</v>
      </c>
      <c r="U5" s="7">
        <f>'Sprint Summary Q4'!B5</f>
        <v>0</v>
      </c>
      <c r="V5" s="7">
        <f>'Sprint Summary Q4'!C5</f>
        <v>0</v>
      </c>
      <c r="W5" s="7" t="e">
        <f>'Sprint Summary Q4'!D5</f>
        <v>#N/A</v>
      </c>
      <c r="X5" s="7" t="e">
        <f>'Sprint Summary Q4'!E5</f>
        <v>#N/A</v>
      </c>
      <c r="Y5" s="7" t="e">
        <f>'Sprint Summary Q4'!F5</f>
        <v>#N/A</v>
      </c>
      <c r="Z5" s="7" t="e">
        <f>'Sprint Summary Q4'!G5</f>
        <v>#N/A</v>
      </c>
      <c r="AA5" s="7" t="e">
        <f>'Sprint Summary Q4'!#REF!</f>
        <v>#REF!</v>
      </c>
      <c r="AB5" s="21">
        <f>IFERROR(AVERAGEIF(B5:AA5,"&gt;-1"),NA())</f>
        <v>0.68246097337006428</v>
      </c>
      <c r="AC5" s="21">
        <f>IFERROR(COUNTIF(I5:AA5,"=1")/(COUNTIF(I5:AA5,"&gt;0")+COUNTIF(I5:AA5,0)),NA())</f>
        <v>0.25</v>
      </c>
    </row>
    <row r="6" spans="1:29" ht="24" customHeight="1" x14ac:dyDescent="0.25">
      <c r="A6" s="2" t="s">
        <v>73</v>
      </c>
      <c r="B6" s="4">
        <f>'Sprint Summary Q1'!B6</f>
        <v>0</v>
      </c>
      <c r="C6" s="4">
        <f>'Sprint Summary Q1'!C6</f>
        <v>0</v>
      </c>
      <c r="D6" s="4">
        <f>'Sprint Summary Q1'!D6</f>
        <v>0</v>
      </c>
      <c r="E6" s="4">
        <f>'Sprint Summary Q1'!E6</f>
        <v>0</v>
      </c>
      <c r="F6" s="4">
        <f>'Sprint Summary Q1'!F6</f>
        <v>1</v>
      </c>
      <c r="G6" s="4">
        <f>'Sprint Summary Q1'!G6</f>
        <v>3</v>
      </c>
      <c r="H6" s="4">
        <f>'Sprint Summary Q1'!H6</f>
        <v>1</v>
      </c>
      <c r="I6" s="4">
        <f>'Sprint Summary Q2'!B6</f>
        <v>0</v>
      </c>
      <c r="J6" s="4">
        <f>'Sprint Summary Q2'!C6</f>
        <v>3</v>
      </c>
      <c r="K6" s="4">
        <f>'Sprint Summary Q2'!D6</f>
        <v>0</v>
      </c>
      <c r="L6" s="4">
        <f>'Sprint Summary Q2'!E6</f>
        <v>0</v>
      </c>
      <c r="M6" s="4">
        <f>'Sprint Summary Q2'!F6</f>
        <v>0</v>
      </c>
      <c r="N6" s="4">
        <f>'Sprint Summary Q2'!G6</f>
        <v>0</v>
      </c>
      <c r="O6" s="4">
        <f>'Sprint Summary Q3'!B6</f>
        <v>0</v>
      </c>
      <c r="P6" s="4">
        <f>'Sprint Summary Q3'!C6</f>
        <v>0</v>
      </c>
      <c r="Q6" s="4">
        <f>'Sprint Summary Q3'!D6</f>
        <v>0</v>
      </c>
      <c r="R6" s="4">
        <f>'Sprint Summary Q3'!E6</f>
        <v>0</v>
      </c>
      <c r="S6" s="4">
        <f>'Sprint Summary Q3'!F6</f>
        <v>0</v>
      </c>
      <c r="T6" s="4">
        <f>'Sprint Summary Q3'!G6</f>
        <v>0</v>
      </c>
      <c r="U6" s="4">
        <f>'Sprint Summary Q3'!H6</f>
        <v>0</v>
      </c>
      <c r="V6" s="4">
        <f>'Sprint Summary Q4'!B6</f>
        <v>0</v>
      </c>
      <c r="W6" s="4">
        <f>'Sprint Summary Q4'!C6</f>
        <v>0</v>
      </c>
      <c r="X6" s="4">
        <f>'Sprint Summary Q4'!D6</f>
        <v>0</v>
      </c>
      <c r="Y6" s="4">
        <f>'Sprint Summary Q4'!E6</f>
        <v>0</v>
      </c>
      <c r="Z6" s="4">
        <f>'Sprint Summary Q4'!F6</f>
        <v>0</v>
      </c>
      <c r="AA6" s="4">
        <f>'Sprint Summary Q4'!G6</f>
        <v>0</v>
      </c>
      <c r="AB6" s="19">
        <f>SUM(B6:AA6)</f>
        <v>8</v>
      </c>
      <c r="AC6" s="21"/>
    </row>
    <row r="7" spans="1:29" ht="24" customHeight="1" x14ac:dyDescent="0.35">
      <c r="A7" s="72" t="s">
        <v>7</v>
      </c>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4"/>
    </row>
    <row r="8" spans="1:29" ht="24" customHeight="1" x14ac:dyDescent="0.25">
      <c r="A8" s="14" t="s">
        <v>9</v>
      </c>
      <c r="B8" s="49">
        <f>'Sprint Summary Q1'!B8</f>
        <v>0</v>
      </c>
      <c r="C8" s="49">
        <f>'Sprint Summary Q1'!C8</f>
        <v>0</v>
      </c>
      <c r="D8" s="49" t="str">
        <f>'Sprint Summary Q1'!D8</f>
        <v>x</v>
      </c>
      <c r="E8" s="49" t="str">
        <f>'Sprint Summary Q1'!E8</f>
        <v>x</v>
      </c>
      <c r="F8" s="49">
        <f>'Sprint Summary Q1'!F8</f>
        <v>0</v>
      </c>
      <c r="G8" s="49">
        <f>'Sprint Summary Q1'!G8</f>
        <v>0</v>
      </c>
      <c r="H8" s="49">
        <f>'Sprint Summary Q1'!H8</f>
        <v>0</v>
      </c>
      <c r="I8" s="55">
        <f>'Sprint Summary Q2'!B8</f>
        <v>0</v>
      </c>
      <c r="J8" s="55">
        <f>'Sprint Summary Q2'!C8</f>
        <v>0</v>
      </c>
      <c r="K8" s="55">
        <f>'Sprint Summary Q2'!D8</f>
        <v>0</v>
      </c>
      <c r="L8" s="55">
        <f>'Sprint Summary Q2'!E8</f>
        <v>0</v>
      </c>
      <c r="M8" s="55">
        <f>'Sprint Summary Q2'!F8</f>
        <v>0</v>
      </c>
      <c r="N8" s="55">
        <f>'Sprint Summary Q2'!G8</f>
        <v>0</v>
      </c>
      <c r="O8" s="55">
        <f>'Sprint Summary Q3'!B8</f>
        <v>0</v>
      </c>
      <c r="P8" s="55">
        <f>'Sprint Summary Q3'!C8</f>
        <v>0</v>
      </c>
      <c r="Q8" s="55">
        <f>'Sprint Summary Q3'!D8</f>
        <v>0</v>
      </c>
      <c r="R8" s="55">
        <f>'Sprint Summary Q3'!E8</f>
        <v>0</v>
      </c>
      <c r="S8" s="55">
        <f>'Sprint Summary Q3'!F8</f>
        <v>0</v>
      </c>
      <c r="T8" s="55">
        <f>'Sprint Summary Q3'!G8</f>
        <v>0</v>
      </c>
      <c r="U8" s="55">
        <f>'Sprint Summary Q4'!B8</f>
        <v>0</v>
      </c>
      <c r="V8" s="55">
        <f>'Sprint Summary Q4'!C8</f>
        <v>0</v>
      </c>
      <c r="W8" s="55">
        <f>'Sprint Summary Q4'!D8</f>
        <v>0</v>
      </c>
      <c r="X8" s="55">
        <f>'Sprint Summary Q4'!E8</f>
        <v>0</v>
      </c>
      <c r="Y8" s="55">
        <f>'Sprint Summary Q4'!F8</f>
        <v>0</v>
      </c>
      <c r="Z8" s="55">
        <f>'Sprint Summary Q4'!G8</f>
        <v>0</v>
      </c>
      <c r="AA8" s="55" t="e">
        <f>'Sprint Summary Q4'!#REF!</f>
        <v>#REF!</v>
      </c>
      <c r="AB8" s="19">
        <f>COUNTIF(B8:AA8,"X")</f>
        <v>2</v>
      </c>
      <c r="AC8" s="23"/>
    </row>
    <row r="9" spans="1:29" ht="24" customHeight="1" x14ac:dyDescent="0.25">
      <c r="A9" s="14" t="s">
        <v>13</v>
      </c>
      <c r="B9" s="49">
        <f>'Sprint Summary Q1'!B9</f>
        <v>0</v>
      </c>
      <c r="C9" s="49">
        <f>'Sprint Summary Q1'!C9</f>
        <v>0</v>
      </c>
      <c r="D9" s="49">
        <f>'Sprint Summary Q1'!D9</f>
        <v>0</v>
      </c>
      <c r="E9" s="49">
        <f>'Sprint Summary Q1'!E9</f>
        <v>0</v>
      </c>
      <c r="F9" s="49">
        <f>'Sprint Summary Q1'!F9</f>
        <v>0</v>
      </c>
      <c r="G9" s="49">
        <f>'Sprint Summary Q1'!G9</f>
        <v>0</v>
      </c>
      <c r="H9" s="49">
        <f>'Sprint Summary Q1'!H9</f>
        <v>0</v>
      </c>
      <c r="I9" s="55">
        <f>'Sprint Summary Q2'!B9</f>
        <v>0</v>
      </c>
      <c r="J9" s="55">
        <f>'Sprint Summary Q2'!C9</f>
        <v>0</v>
      </c>
      <c r="K9" s="55">
        <f>'Sprint Summary Q2'!D9</f>
        <v>0</v>
      </c>
      <c r="L9" s="55">
        <f>'Sprint Summary Q2'!E9</f>
        <v>0</v>
      </c>
      <c r="M9" s="55">
        <f>'Sprint Summary Q2'!F9</f>
        <v>0</v>
      </c>
      <c r="N9" s="55">
        <f>'Sprint Summary Q2'!G9</f>
        <v>0</v>
      </c>
      <c r="O9" s="55">
        <f>'Sprint Summary Q3'!B9</f>
        <v>0</v>
      </c>
      <c r="P9" s="55">
        <f>'Sprint Summary Q3'!C9</f>
        <v>0</v>
      </c>
      <c r="Q9" s="55">
        <f>'Sprint Summary Q3'!D9</f>
        <v>0</v>
      </c>
      <c r="R9" s="55">
        <f>'Sprint Summary Q3'!E9</f>
        <v>0</v>
      </c>
      <c r="S9" s="55">
        <f>'Sprint Summary Q3'!F9</f>
        <v>0</v>
      </c>
      <c r="T9" s="55">
        <f>'Sprint Summary Q3'!G9</f>
        <v>0</v>
      </c>
      <c r="U9" s="55">
        <f>'Sprint Summary Q4'!B9</f>
        <v>0</v>
      </c>
      <c r="V9" s="55">
        <f>'Sprint Summary Q4'!C9</f>
        <v>0</v>
      </c>
      <c r="W9" s="55">
        <f>'Sprint Summary Q4'!D9</f>
        <v>0</v>
      </c>
      <c r="X9" s="55">
        <f>'Sprint Summary Q4'!E9</f>
        <v>0</v>
      </c>
      <c r="Y9" s="55">
        <f>'Sprint Summary Q4'!F9</f>
        <v>0</v>
      </c>
      <c r="Z9" s="55">
        <f>'Sprint Summary Q4'!G9</f>
        <v>0</v>
      </c>
      <c r="AA9" s="55" t="e">
        <f>'Sprint Summary Q4'!#REF!</f>
        <v>#REF!</v>
      </c>
      <c r="AB9" s="19">
        <f>COUNTIF(B9:AA9,"X")</f>
        <v>0</v>
      </c>
      <c r="AC9" s="23"/>
    </row>
    <row r="10" spans="1:29" ht="24" customHeight="1" x14ac:dyDescent="0.25">
      <c r="A10" s="14" t="s">
        <v>10</v>
      </c>
      <c r="B10" s="49">
        <f>'Sprint Summary Q1'!B10</f>
        <v>0</v>
      </c>
      <c r="C10" s="49">
        <f>'Sprint Summary Q1'!C10</f>
        <v>0</v>
      </c>
      <c r="D10" s="49">
        <f>'Sprint Summary Q1'!D10</f>
        <v>0</v>
      </c>
      <c r="E10" s="49">
        <f>'Sprint Summary Q1'!E10</f>
        <v>0</v>
      </c>
      <c r="F10" s="49">
        <f>'Sprint Summary Q1'!F10</f>
        <v>0</v>
      </c>
      <c r="G10" s="49">
        <f>'Sprint Summary Q1'!G10</f>
        <v>0</v>
      </c>
      <c r="H10" s="49">
        <f>'Sprint Summary Q1'!H10</f>
        <v>0</v>
      </c>
      <c r="I10" s="55" t="str">
        <f>'Sprint Summary Q2'!B10</f>
        <v>X</v>
      </c>
      <c r="J10" s="55">
        <f>'Sprint Summary Q2'!C10</f>
        <v>0</v>
      </c>
      <c r="K10" s="55">
        <f>'Sprint Summary Q2'!D10</f>
        <v>0</v>
      </c>
      <c r="L10" s="55">
        <f>'Sprint Summary Q2'!E10</f>
        <v>0</v>
      </c>
      <c r="M10" s="55">
        <f>'Sprint Summary Q2'!F10</f>
        <v>0</v>
      </c>
      <c r="N10" s="55">
        <f>'Sprint Summary Q2'!G10</f>
        <v>0</v>
      </c>
      <c r="O10" s="55">
        <f>'Sprint Summary Q3'!B10</f>
        <v>0</v>
      </c>
      <c r="P10" s="55">
        <f>'Sprint Summary Q3'!C10</f>
        <v>0</v>
      </c>
      <c r="Q10" s="55">
        <f>'Sprint Summary Q3'!D10</f>
        <v>0</v>
      </c>
      <c r="R10" s="55">
        <f>'Sprint Summary Q3'!E10</f>
        <v>0</v>
      </c>
      <c r="S10" s="55">
        <f>'Sprint Summary Q3'!F10</f>
        <v>0</v>
      </c>
      <c r="T10" s="55">
        <f>'Sprint Summary Q3'!G10</f>
        <v>0</v>
      </c>
      <c r="U10" s="55">
        <f>'Sprint Summary Q4'!B10</f>
        <v>0</v>
      </c>
      <c r="V10" s="55">
        <f>'Sprint Summary Q4'!C10</f>
        <v>0</v>
      </c>
      <c r="W10" s="55">
        <f>'Sprint Summary Q4'!D10</f>
        <v>0</v>
      </c>
      <c r="X10" s="55">
        <f>'Sprint Summary Q4'!E10</f>
        <v>0</v>
      </c>
      <c r="Y10" s="55">
        <f>'Sprint Summary Q4'!F10</f>
        <v>0</v>
      </c>
      <c r="Z10" s="55">
        <f>'Sprint Summary Q4'!G10</f>
        <v>0</v>
      </c>
      <c r="AA10" s="55" t="e">
        <f>'Sprint Summary Q4'!#REF!</f>
        <v>#REF!</v>
      </c>
      <c r="AB10" s="19">
        <f>COUNTIF(B10:AA10,"X")</f>
        <v>1</v>
      </c>
      <c r="AC10" s="23"/>
    </row>
    <row r="11" spans="1:29" ht="24" customHeight="1" x14ac:dyDescent="0.25">
      <c r="A11" s="14" t="s">
        <v>27</v>
      </c>
      <c r="B11" s="49">
        <f>'Sprint Summary Q1'!B11</f>
        <v>0</v>
      </c>
      <c r="C11" s="49">
        <f>'Sprint Summary Q1'!C11</f>
        <v>0</v>
      </c>
      <c r="D11" s="49">
        <f>'Sprint Summary Q1'!D11</f>
        <v>0</v>
      </c>
      <c r="E11" s="49">
        <f>'Sprint Summary Q1'!E11</f>
        <v>0</v>
      </c>
      <c r="F11" s="49">
        <f>'Sprint Summary Q1'!F11</f>
        <v>0</v>
      </c>
      <c r="G11" s="49">
        <f>'Sprint Summary Q1'!G11</f>
        <v>0</v>
      </c>
      <c r="H11" s="49">
        <f>'Sprint Summary Q1'!H11</f>
        <v>0</v>
      </c>
      <c r="I11" s="55">
        <f>'Sprint Summary Q2'!B11</f>
        <v>0</v>
      </c>
      <c r="J11" s="55">
        <f>'Sprint Summary Q2'!C11</f>
        <v>0</v>
      </c>
      <c r="K11" s="55">
        <f>'Sprint Summary Q2'!D11</f>
        <v>0</v>
      </c>
      <c r="L11" s="55">
        <f>'Sprint Summary Q2'!E11</f>
        <v>0</v>
      </c>
      <c r="M11" s="55">
        <f>'Sprint Summary Q2'!F11</f>
        <v>0</v>
      </c>
      <c r="N11" s="55">
        <f>'Sprint Summary Q2'!G11</f>
        <v>0</v>
      </c>
      <c r="O11" s="55">
        <f>'Sprint Summary Q3'!B11</f>
        <v>0</v>
      </c>
      <c r="P11" s="55">
        <f>'Sprint Summary Q3'!C11</f>
        <v>0</v>
      </c>
      <c r="Q11" s="55">
        <f>'Sprint Summary Q3'!D11</f>
        <v>0</v>
      </c>
      <c r="R11" s="55">
        <f>'Sprint Summary Q3'!E11</f>
        <v>0</v>
      </c>
      <c r="S11" s="55">
        <f>'Sprint Summary Q3'!F11</f>
        <v>0</v>
      </c>
      <c r="T11" s="55">
        <f>'Sprint Summary Q3'!G11</f>
        <v>0</v>
      </c>
      <c r="U11" s="55">
        <f>'Sprint Summary Q4'!B11</f>
        <v>0</v>
      </c>
      <c r="V11" s="55">
        <f>'Sprint Summary Q4'!C11</f>
        <v>0</v>
      </c>
      <c r="W11" s="55">
        <f>'Sprint Summary Q4'!D11</f>
        <v>0</v>
      </c>
      <c r="X11" s="55">
        <f>'Sprint Summary Q4'!E11</f>
        <v>0</v>
      </c>
      <c r="Y11" s="55">
        <f>'Sprint Summary Q4'!F11</f>
        <v>0</v>
      </c>
      <c r="Z11" s="55">
        <f>'Sprint Summary Q4'!G11</f>
        <v>0</v>
      </c>
      <c r="AA11" s="55" t="e">
        <f>'Sprint Summary Q4'!#REF!</f>
        <v>#REF!</v>
      </c>
      <c r="AB11" s="19">
        <f>COUNTIF(B11:AA11,"X")</f>
        <v>0</v>
      </c>
      <c r="AC11" s="23"/>
    </row>
    <row r="12" spans="1:29" ht="24" customHeight="1" x14ac:dyDescent="0.25">
      <c r="A12" s="14" t="s">
        <v>26</v>
      </c>
      <c r="B12" s="49">
        <f>'Sprint Summary Q1'!B12</f>
        <v>0</v>
      </c>
      <c r="C12" s="49">
        <f>'Sprint Summary Q1'!C12</f>
        <v>0</v>
      </c>
      <c r="D12" s="49">
        <f>'Sprint Summary Q1'!D12</f>
        <v>0</v>
      </c>
      <c r="E12" s="49">
        <f>'Sprint Summary Q1'!E12</f>
        <v>0</v>
      </c>
      <c r="F12" s="49">
        <f>'Sprint Summary Q1'!F12</f>
        <v>0</v>
      </c>
      <c r="G12" s="49">
        <f>'Sprint Summary Q1'!G12</f>
        <v>0</v>
      </c>
      <c r="H12" s="49">
        <f>'Sprint Summary Q1'!H12</f>
        <v>0</v>
      </c>
      <c r="I12" s="55">
        <f>'Sprint Summary Q2'!B12</f>
        <v>0</v>
      </c>
      <c r="J12" s="55">
        <f>'Sprint Summary Q2'!C12</f>
        <v>0</v>
      </c>
      <c r="K12" s="55">
        <f>'Sprint Summary Q2'!D12</f>
        <v>0</v>
      </c>
      <c r="L12" s="55">
        <f>'Sprint Summary Q2'!E12</f>
        <v>0</v>
      </c>
      <c r="M12" s="55">
        <f>'Sprint Summary Q2'!F12</f>
        <v>0</v>
      </c>
      <c r="N12" s="55">
        <f>'Sprint Summary Q2'!G12</f>
        <v>0</v>
      </c>
      <c r="O12" s="55">
        <f>'Sprint Summary Q3'!B12</f>
        <v>0</v>
      </c>
      <c r="P12" s="55">
        <f>'Sprint Summary Q3'!C12</f>
        <v>0</v>
      </c>
      <c r="Q12" s="55">
        <f>'Sprint Summary Q3'!D12</f>
        <v>0</v>
      </c>
      <c r="R12" s="55">
        <f>'Sprint Summary Q3'!E12</f>
        <v>0</v>
      </c>
      <c r="S12" s="55">
        <f>'Sprint Summary Q3'!F12</f>
        <v>0</v>
      </c>
      <c r="T12" s="55">
        <f>'Sprint Summary Q3'!G12</f>
        <v>0</v>
      </c>
      <c r="U12" s="55">
        <f>'Sprint Summary Q4'!B12</f>
        <v>0</v>
      </c>
      <c r="V12" s="55">
        <f>'Sprint Summary Q4'!C12</f>
        <v>0</v>
      </c>
      <c r="W12" s="55">
        <f>'Sprint Summary Q4'!D12</f>
        <v>0</v>
      </c>
      <c r="X12" s="55">
        <f>'Sprint Summary Q4'!E12</f>
        <v>0</v>
      </c>
      <c r="Y12" s="55">
        <f>'Sprint Summary Q4'!F12</f>
        <v>0</v>
      </c>
      <c r="Z12" s="55">
        <f>'Sprint Summary Q4'!G12</f>
        <v>0</v>
      </c>
      <c r="AA12" s="55" t="e">
        <f>'Sprint Summary Q4'!#REF!</f>
        <v>#REF!</v>
      </c>
      <c r="AB12" s="19">
        <f>COUNTIF(B12:AA12,"X")</f>
        <v>0</v>
      </c>
      <c r="AC12" s="23"/>
    </row>
    <row r="13" spans="1:29" ht="24" customHeight="1" x14ac:dyDescent="0.35">
      <c r="A13" s="72" t="s">
        <v>6</v>
      </c>
      <c r="B13" s="73"/>
      <c r="C13" s="73"/>
      <c r="D13" s="73"/>
      <c r="E13" s="73"/>
      <c r="F13" s="73"/>
      <c r="G13" s="73"/>
      <c r="H13" s="73"/>
      <c r="I13" s="73"/>
      <c r="J13" s="73"/>
      <c r="K13" s="73"/>
      <c r="L13" s="73"/>
      <c r="M13" s="73"/>
      <c r="N13" s="73"/>
      <c r="O13" s="73"/>
      <c r="P13" s="73"/>
      <c r="Q13" s="73"/>
      <c r="R13" s="73"/>
      <c r="S13" s="73"/>
      <c r="T13" s="73"/>
      <c r="U13" s="73"/>
      <c r="V13" s="73"/>
      <c r="W13" s="73"/>
      <c r="X13" s="73"/>
      <c r="Y13" s="73"/>
      <c r="Z13" s="73"/>
      <c r="AA13" s="73"/>
      <c r="AB13" s="73"/>
      <c r="AC13" s="74"/>
    </row>
    <row r="14" spans="1:29" ht="24" customHeight="1" x14ac:dyDescent="0.25">
      <c r="A14" s="2" t="s">
        <v>95</v>
      </c>
      <c r="B14" s="4">
        <f>'Sprint Summary Q1'!B14</f>
        <v>0</v>
      </c>
      <c r="C14" s="4">
        <f>'Sprint Summary Q1'!C14</f>
        <v>2</v>
      </c>
      <c r="D14" s="4">
        <f>'Sprint Summary Q1'!D14</f>
        <v>2</v>
      </c>
      <c r="E14" s="4">
        <f>'Sprint Summary Q1'!E14</f>
        <v>1</v>
      </c>
      <c r="F14" s="4">
        <f>'Sprint Summary Q1'!F14</f>
        <v>1</v>
      </c>
      <c r="G14" s="4">
        <f>'Sprint Summary Q1'!G14</f>
        <v>1</v>
      </c>
      <c r="H14" s="4">
        <f>'Sprint Summary Q1'!H14</f>
        <v>5</v>
      </c>
      <c r="I14" s="16">
        <f>'Sprint Summary Q2'!B14</f>
        <v>4</v>
      </c>
      <c r="J14" s="16">
        <f>'Sprint Summary Q2'!C14</f>
        <v>3</v>
      </c>
      <c r="K14" s="16">
        <f>'Sprint Summary Q2'!D14</f>
        <v>0</v>
      </c>
      <c r="L14" s="16">
        <f>'Sprint Summary Q2'!E14</f>
        <v>0</v>
      </c>
      <c r="M14" s="16">
        <f>'Sprint Summary Q2'!F14</f>
        <v>0</v>
      </c>
      <c r="N14" s="16">
        <f>'Sprint Summary Q2'!G14</f>
        <v>0</v>
      </c>
      <c r="O14" s="16">
        <f>'Sprint Summary Q3'!B14</f>
        <v>0</v>
      </c>
      <c r="P14" s="16">
        <f>'Sprint Summary Q3'!C14</f>
        <v>0</v>
      </c>
      <c r="Q14" s="16">
        <f>'Sprint Summary Q3'!D14</f>
        <v>0</v>
      </c>
      <c r="R14" s="16">
        <f>'Sprint Summary Q3'!E14</f>
        <v>0</v>
      </c>
      <c r="S14" s="16">
        <f>'Sprint Summary Q3'!F14</f>
        <v>0</v>
      </c>
      <c r="T14" s="16">
        <f>'Sprint Summary Q3'!G14</f>
        <v>0</v>
      </c>
      <c r="U14" s="16">
        <f>'Sprint Summary Q3'!H14</f>
        <v>0</v>
      </c>
      <c r="V14" s="16">
        <f>'Sprint Summary Q4'!B14</f>
        <v>0</v>
      </c>
      <c r="W14" s="16">
        <f>'Sprint Summary Q4'!C14</f>
        <v>0</v>
      </c>
      <c r="X14" s="16">
        <f>'Sprint Summary Q4'!D14</f>
        <v>0</v>
      </c>
      <c r="Y14" s="16">
        <f>'Sprint Summary Q4'!E14</f>
        <v>0</v>
      </c>
      <c r="Z14" s="16">
        <f>'Sprint Summary Q4'!F14</f>
        <v>0</v>
      </c>
      <c r="AA14" s="16">
        <f>'Sprint Summary Q4'!G14</f>
        <v>0</v>
      </c>
      <c r="AB14" s="19">
        <f>SUM(B14:AA14)</f>
        <v>19</v>
      </c>
      <c r="AC14" s="75" t="s">
        <v>44</v>
      </c>
    </row>
    <row r="15" spans="1:29" ht="24" customHeight="1" x14ac:dyDescent="0.25">
      <c r="A15" s="2" t="s">
        <v>96</v>
      </c>
      <c r="B15" s="4">
        <f>'Sprint Summary Q1'!B15</f>
        <v>0</v>
      </c>
      <c r="C15" s="4">
        <f>'Sprint Summary Q1'!C15</f>
        <v>1</v>
      </c>
      <c r="D15" s="4">
        <f>'Sprint Summary Q1'!D15</f>
        <v>1</v>
      </c>
      <c r="E15" s="4">
        <f>'Sprint Summary Q1'!E15</f>
        <v>2</v>
      </c>
      <c r="F15" s="4">
        <f>'Sprint Summary Q1'!F15</f>
        <v>1</v>
      </c>
      <c r="G15" s="4">
        <f>'Sprint Summary Q1'!G15</f>
        <v>1</v>
      </c>
      <c r="H15" s="4">
        <f>'Sprint Summary Q1'!H15</f>
        <v>1</v>
      </c>
      <c r="I15" s="16">
        <f>'Sprint Summary Q2'!B15</f>
        <v>1</v>
      </c>
      <c r="J15" s="16">
        <f>'Sprint Summary Q2'!C15</f>
        <v>1</v>
      </c>
      <c r="K15" s="16">
        <f>'Sprint Summary Q2'!D15</f>
        <v>0</v>
      </c>
      <c r="L15" s="16">
        <f>'Sprint Summary Q2'!E15</f>
        <v>0</v>
      </c>
      <c r="M15" s="16">
        <f>'Sprint Summary Q2'!F15</f>
        <v>0</v>
      </c>
      <c r="N15" s="16">
        <f>'Sprint Summary Q2'!G15</f>
        <v>0</v>
      </c>
      <c r="O15" s="16">
        <f>'Sprint Summary Q3'!B15</f>
        <v>0</v>
      </c>
      <c r="P15" s="16">
        <f>'Sprint Summary Q3'!C15</f>
        <v>0</v>
      </c>
      <c r="Q15" s="16">
        <f>'Sprint Summary Q3'!D15</f>
        <v>0</v>
      </c>
      <c r="R15" s="16">
        <f>'Sprint Summary Q3'!E15</f>
        <v>0</v>
      </c>
      <c r="S15" s="16">
        <f>'Sprint Summary Q3'!F15</f>
        <v>0</v>
      </c>
      <c r="T15" s="16">
        <f>'Sprint Summary Q3'!G15</f>
        <v>0</v>
      </c>
      <c r="U15" s="16">
        <f>'Sprint Summary Q3'!H15</f>
        <v>0</v>
      </c>
      <c r="V15" s="16">
        <f>'Sprint Summary Q4'!B15</f>
        <v>0</v>
      </c>
      <c r="W15" s="16">
        <f>'Sprint Summary Q4'!C15</f>
        <v>0</v>
      </c>
      <c r="X15" s="16">
        <f>'Sprint Summary Q4'!D15</f>
        <v>0</v>
      </c>
      <c r="Y15" s="16">
        <f>'Sprint Summary Q4'!E15</f>
        <v>0</v>
      </c>
      <c r="Z15" s="16">
        <f>'Sprint Summary Q4'!F15</f>
        <v>0</v>
      </c>
      <c r="AA15" s="16">
        <f>'Sprint Summary Q4'!G15</f>
        <v>0</v>
      </c>
      <c r="AB15" s="19">
        <f>SUM(B15:AA15)</f>
        <v>9</v>
      </c>
      <c r="AC15" s="76"/>
    </row>
    <row r="16" spans="1:29" ht="24" customHeight="1" x14ac:dyDescent="0.25">
      <c r="A16" s="2" t="s">
        <v>97</v>
      </c>
      <c r="B16" s="4">
        <f>'Sprint Summary Q1'!B16</f>
        <v>0</v>
      </c>
      <c r="C16" s="4">
        <f>'Sprint Summary Q1'!C16</f>
        <v>2</v>
      </c>
      <c r="D16" s="4">
        <f>'Sprint Summary Q1'!D16</f>
        <v>1</v>
      </c>
      <c r="E16" s="4">
        <f>'Sprint Summary Q1'!E16</f>
        <v>3</v>
      </c>
      <c r="F16" s="4">
        <f>'Sprint Summary Q1'!F16</f>
        <v>3</v>
      </c>
      <c r="G16" s="4">
        <f>'Sprint Summary Q1'!G16</f>
        <v>8</v>
      </c>
      <c r="H16" s="4">
        <f>'Sprint Summary Q1'!H16</f>
        <v>4</v>
      </c>
      <c r="I16" s="16">
        <f>'Sprint Summary Q2'!B16</f>
        <v>4</v>
      </c>
      <c r="J16" s="16">
        <f>'Sprint Summary Q2'!C16</f>
        <v>3</v>
      </c>
      <c r="K16" s="16">
        <f>'Sprint Summary Q2'!D16</f>
        <v>0</v>
      </c>
      <c r="L16" s="16">
        <f>'Sprint Summary Q2'!E16</f>
        <v>0</v>
      </c>
      <c r="M16" s="16">
        <f>'Sprint Summary Q2'!F16</f>
        <v>0</v>
      </c>
      <c r="N16" s="16">
        <f>'Sprint Summary Q2'!G16</f>
        <v>0</v>
      </c>
      <c r="O16" s="16">
        <f>'Sprint Summary Q3'!B16</f>
        <v>0</v>
      </c>
      <c r="P16" s="16">
        <f>'Sprint Summary Q3'!C16</f>
        <v>0</v>
      </c>
      <c r="Q16" s="16">
        <f>'Sprint Summary Q3'!D16</f>
        <v>0</v>
      </c>
      <c r="R16" s="16">
        <f>'Sprint Summary Q3'!E16</f>
        <v>0</v>
      </c>
      <c r="S16" s="16">
        <f>'Sprint Summary Q3'!F16</f>
        <v>0</v>
      </c>
      <c r="T16" s="16">
        <f>'Sprint Summary Q3'!G16</f>
        <v>0</v>
      </c>
      <c r="U16" s="16">
        <f>'Sprint Summary Q3'!H16</f>
        <v>0</v>
      </c>
      <c r="V16" s="16">
        <f>'Sprint Summary Q4'!B16</f>
        <v>0</v>
      </c>
      <c r="W16" s="16">
        <f>'Sprint Summary Q4'!C16</f>
        <v>0</v>
      </c>
      <c r="X16" s="16">
        <f>'Sprint Summary Q4'!D16</f>
        <v>0</v>
      </c>
      <c r="Y16" s="16">
        <f>'Sprint Summary Q4'!E16</f>
        <v>0</v>
      </c>
      <c r="Z16" s="16">
        <f>'Sprint Summary Q4'!F16</f>
        <v>0</v>
      </c>
      <c r="AA16" s="16">
        <f>'Sprint Summary Q4'!G16</f>
        <v>0</v>
      </c>
      <c r="AB16" s="19">
        <f>SUM(B16:AA16)</f>
        <v>28</v>
      </c>
      <c r="AC16" s="75" t="s">
        <v>45</v>
      </c>
    </row>
    <row r="17" spans="1:29" ht="24" customHeight="1" x14ac:dyDescent="0.25">
      <c r="A17" s="2" t="s">
        <v>98</v>
      </c>
      <c r="B17" s="4">
        <f>'Sprint Summary Q1'!B17</f>
        <v>0</v>
      </c>
      <c r="C17" s="4">
        <f>'Sprint Summary Q1'!C17</f>
        <v>0</v>
      </c>
      <c r="D17" s="4">
        <f>'Sprint Summary Q1'!D17</f>
        <v>0</v>
      </c>
      <c r="E17" s="4">
        <f>'Sprint Summary Q1'!E17</f>
        <v>1</v>
      </c>
      <c r="F17" s="4">
        <f>'Sprint Summary Q1'!F17</f>
        <v>1</v>
      </c>
      <c r="G17" s="4">
        <f>'Sprint Summary Q1'!G17</f>
        <v>0</v>
      </c>
      <c r="H17" s="4">
        <f>'Sprint Summary Q1'!H17</f>
        <v>0</v>
      </c>
      <c r="I17" s="16">
        <f>'Sprint Summary Q2'!B17</f>
        <v>0</v>
      </c>
      <c r="J17" s="16">
        <f>'Sprint Summary Q2'!C17</f>
        <v>2</v>
      </c>
      <c r="K17" s="16">
        <f>'Sprint Summary Q2'!D17</f>
        <v>0</v>
      </c>
      <c r="L17" s="16">
        <f>'Sprint Summary Q2'!E17</f>
        <v>0</v>
      </c>
      <c r="M17" s="16">
        <f>'Sprint Summary Q2'!F17</f>
        <v>0</v>
      </c>
      <c r="N17" s="16">
        <f>'Sprint Summary Q2'!G17</f>
        <v>0</v>
      </c>
      <c r="O17" s="16">
        <f>'Sprint Summary Q3'!B17</f>
        <v>0</v>
      </c>
      <c r="P17" s="16">
        <f>'Sprint Summary Q3'!C17</f>
        <v>0</v>
      </c>
      <c r="Q17" s="16">
        <f>'Sprint Summary Q3'!D17</f>
        <v>0</v>
      </c>
      <c r="R17" s="16">
        <f>'Sprint Summary Q3'!E17</f>
        <v>0</v>
      </c>
      <c r="S17" s="16">
        <f>'Sprint Summary Q3'!F17</f>
        <v>0</v>
      </c>
      <c r="T17" s="16">
        <f>'Sprint Summary Q3'!G17</f>
        <v>0</v>
      </c>
      <c r="U17" s="16">
        <f>'Sprint Summary Q3'!H17</f>
        <v>0</v>
      </c>
      <c r="V17" s="16">
        <f>'Sprint Summary Q4'!B17</f>
        <v>0</v>
      </c>
      <c r="W17" s="16">
        <f>'Sprint Summary Q4'!C17</f>
        <v>0</v>
      </c>
      <c r="X17" s="16">
        <f>'Sprint Summary Q4'!D17</f>
        <v>0</v>
      </c>
      <c r="Y17" s="16">
        <f>'Sprint Summary Q4'!E17</f>
        <v>0</v>
      </c>
      <c r="Z17" s="16">
        <f>'Sprint Summary Q4'!F17</f>
        <v>0</v>
      </c>
      <c r="AA17" s="16">
        <f>'Sprint Summary Q4'!G17</f>
        <v>0</v>
      </c>
      <c r="AB17" s="19">
        <f>SUM(B17:AA17)</f>
        <v>4</v>
      </c>
      <c r="AC17" s="76"/>
    </row>
    <row r="18" spans="1:29" ht="24" customHeight="1" x14ac:dyDescent="0.25">
      <c r="A18" s="2" t="s">
        <v>99</v>
      </c>
      <c r="B18" s="4">
        <f>'Sprint Summary Q1'!B18</f>
        <v>0</v>
      </c>
      <c r="C18" s="4">
        <f>'Sprint Summary Q1'!C18</f>
        <v>0</v>
      </c>
      <c r="D18" s="4">
        <f>'Sprint Summary Q1'!D18</f>
        <v>0</v>
      </c>
      <c r="E18" s="4">
        <f>'Sprint Summary Q1'!E18</f>
        <v>1</v>
      </c>
      <c r="F18" s="4">
        <f>'Sprint Summary Q1'!F18</f>
        <v>2</v>
      </c>
      <c r="G18" s="4">
        <f>'Sprint Summary Q1'!G18</f>
        <v>0</v>
      </c>
      <c r="H18" s="4">
        <f>'Sprint Summary Q1'!H18</f>
        <v>0</v>
      </c>
      <c r="I18" s="16">
        <f>'Sprint Summary Q2'!B18</f>
        <v>0</v>
      </c>
      <c r="J18" s="16">
        <f>'Sprint Summary Q2'!C18</f>
        <v>0</v>
      </c>
      <c r="K18" s="16">
        <f>'Sprint Summary Q2'!D18</f>
        <v>0</v>
      </c>
      <c r="L18" s="16">
        <f>'Sprint Summary Q2'!E18</f>
        <v>0</v>
      </c>
      <c r="M18" s="16">
        <f>'Sprint Summary Q2'!F18</f>
        <v>0</v>
      </c>
      <c r="N18" s="16">
        <f>'Sprint Summary Q2'!G18</f>
        <v>0</v>
      </c>
      <c r="O18" s="16">
        <f>'Sprint Summary Q3'!B18</f>
        <v>0</v>
      </c>
      <c r="P18" s="16">
        <f>'Sprint Summary Q3'!C18</f>
        <v>0</v>
      </c>
      <c r="Q18" s="16">
        <f>'Sprint Summary Q3'!D18</f>
        <v>0</v>
      </c>
      <c r="R18" s="16">
        <f>'Sprint Summary Q3'!E18</f>
        <v>0</v>
      </c>
      <c r="S18" s="16">
        <f>'Sprint Summary Q3'!F18</f>
        <v>0</v>
      </c>
      <c r="T18" s="16">
        <f>'Sprint Summary Q3'!G18</f>
        <v>0</v>
      </c>
      <c r="U18" s="16">
        <f>'Sprint Summary Q3'!H18</f>
        <v>0</v>
      </c>
      <c r="V18" s="16">
        <f>'Sprint Summary Q4'!B18</f>
        <v>0</v>
      </c>
      <c r="W18" s="16">
        <f>'Sprint Summary Q4'!C18</f>
        <v>0</v>
      </c>
      <c r="X18" s="16">
        <f>'Sprint Summary Q4'!D18</f>
        <v>0</v>
      </c>
      <c r="Y18" s="16">
        <f>'Sprint Summary Q4'!E18</f>
        <v>0</v>
      </c>
      <c r="Z18" s="16">
        <f>'Sprint Summary Q4'!F18</f>
        <v>0</v>
      </c>
      <c r="AA18" s="16">
        <f>'Sprint Summary Q4'!G18</f>
        <v>0</v>
      </c>
      <c r="AB18" s="19">
        <f>SUM(B18:AA18)</f>
        <v>3</v>
      </c>
      <c r="AC18" s="52" t="s">
        <v>46</v>
      </c>
    </row>
    <row r="19" spans="1:29" ht="24" customHeight="1" x14ac:dyDescent="0.25">
      <c r="A19" s="30" t="s">
        <v>14</v>
      </c>
      <c r="B19" s="31">
        <f>IFERROR('Sprint Summary Q1'!B19,NA())</f>
        <v>0</v>
      </c>
      <c r="C19" s="31">
        <f>IFERROR('Sprint Summary Q1'!C19,NA())</f>
        <v>0.4</v>
      </c>
      <c r="D19" s="31">
        <f>IFERROR('Sprint Summary Q1'!D19,NA())</f>
        <v>0.25</v>
      </c>
      <c r="E19" s="31">
        <f>IFERROR('Sprint Summary Q1'!E19,NA())</f>
        <v>0.5</v>
      </c>
      <c r="F19" s="31">
        <f>IFERROR('Sprint Summary Q1'!F19,NA())</f>
        <v>0.625</v>
      </c>
      <c r="G19" s="31">
        <f>IFERROR('Sprint Summary Q1'!G19,NA())</f>
        <v>0.8</v>
      </c>
      <c r="H19" s="31">
        <f>IFERROR('Sprint Summary Q1'!H19,NA())</f>
        <v>0.4</v>
      </c>
      <c r="I19" s="31">
        <f>IFERROR('Sprint Summary Q2'!B19,NA())</f>
        <v>0.44444444444444442</v>
      </c>
      <c r="J19" s="31">
        <f>IFERROR('Sprint Summary Q2'!C19,NA())</f>
        <v>0.55555555555555558</v>
      </c>
      <c r="K19" s="31" t="e">
        <f>IFERROR('Sprint Summary Q2'!D19,NA())</f>
        <v>#N/A</v>
      </c>
      <c r="L19" s="31" t="e">
        <f>IFERROR('Sprint Summary Q2'!E19,NA())</f>
        <v>#N/A</v>
      </c>
      <c r="M19" s="31" t="e">
        <f>IFERROR('Sprint Summary Q2'!F19,NA())</f>
        <v>#N/A</v>
      </c>
      <c r="N19" s="31" t="e">
        <f>IFERROR('Sprint Summary Q2'!G19,NA())</f>
        <v>#N/A</v>
      </c>
      <c r="O19" s="31" t="e">
        <f>'Sprint Summary Q3'!B19</f>
        <v>#N/A</v>
      </c>
      <c r="P19" s="31" t="e">
        <f>'Sprint Summary Q3'!C19</f>
        <v>#N/A</v>
      </c>
      <c r="Q19" s="31" t="e">
        <f>'Sprint Summary Q3'!D19</f>
        <v>#N/A</v>
      </c>
      <c r="R19" s="31" t="e">
        <f>'Sprint Summary Q3'!E19</f>
        <v>#N/A</v>
      </c>
      <c r="S19" s="31" t="e">
        <f>'Sprint Summary Q3'!F19</f>
        <v>#N/A</v>
      </c>
      <c r="T19" s="31" t="e">
        <f>'Sprint Summary Q3'!G19</f>
        <v>#N/A</v>
      </c>
      <c r="U19" s="31" t="e">
        <f>'Sprint Summary Q4'!B19</f>
        <v>#N/A</v>
      </c>
      <c r="V19" s="31" t="e">
        <f>'Sprint Summary Q4'!C19</f>
        <v>#N/A</v>
      </c>
      <c r="W19" s="31" t="e">
        <f>'Sprint Summary Q4'!D19</f>
        <v>#N/A</v>
      </c>
      <c r="X19" s="31" t="e">
        <f>'Sprint Summary Q4'!E19</f>
        <v>#N/A</v>
      </c>
      <c r="Y19" s="31" t="e">
        <f>'Sprint Summary Q4'!F19</f>
        <v>#N/A</v>
      </c>
      <c r="Z19" s="31" t="e">
        <f>'Sprint Summary Q4'!G19</f>
        <v>#N/A</v>
      </c>
      <c r="AA19" s="31" t="e">
        <f>'Sprint Summary Q4'!#REF!</f>
        <v>#REF!</v>
      </c>
      <c r="AB19" s="33">
        <f>IFERROR(AVERAGEIF(B19:AA19,"&gt;-1"),NA())</f>
        <v>0.44166666666666665</v>
      </c>
      <c r="AC19" s="34"/>
    </row>
    <row r="20" spans="1:29" ht="24" customHeight="1" x14ac:dyDescent="0.35">
      <c r="A20" s="72" t="s">
        <v>2</v>
      </c>
      <c r="B20" s="73"/>
      <c r="C20" s="73"/>
      <c r="D20" s="73"/>
      <c r="E20" s="73"/>
      <c r="F20" s="73"/>
      <c r="G20" s="73"/>
      <c r="H20" s="73"/>
      <c r="I20" s="73"/>
      <c r="J20" s="73"/>
      <c r="K20" s="73"/>
      <c r="L20" s="73"/>
      <c r="M20" s="73"/>
      <c r="N20" s="73"/>
      <c r="O20" s="73"/>
      <c r="P20" s="73"/>
      <c r="Q20" s="73"/>
      <c r="R20" s="73"/>
      <c r="S20" s="73"/>
      <c r="T20" s="73"/>
      <c r="U20" s="73"/>
      <c r="V20" s="73"/>
      <c r="W20" s="73"/>
      <c r="X20" s="73"/>
      <c r="Y20" s="73"/>
      <c r="Z20" s="73"/>
      <c r="AA20" s="73"/>
      <c r="AB20" s="73"/>
      <c r="AC20" s="74"/>
    </row>
    <row r="21" spans="1:29" ht="24" customHeight="1" x14ac:dyDescent="0.25">
      <c r="A21" s="2" t="s">
        <v>0</v>
      </c>
      <c r="B21" s="4">
        <f>'Sprint Summary Q1'!B21</f>
        <v>0</v>
      </c>
      <c r="C21" s="4">
        <f>'Sprint Summary Q1'!C21</f>
        <v>0</v>
      </c>
      <c r="D21" s="4">
        <f>'Sprint Summary Q1'!D21</f>
        <v>0</v>
      </c>
      <c r="E21" s="4">
        <f>'Sprint Summary Q1'!E21</f>
        <v>0</v>
      </c>
      <c r="F21" s="4">
        <f>'Sprint Summary Q1'!F21</f>
        <v>0</v>
      </c>
      <c r="G21" s="4">
        <f>'Sprint Summary Q1'!G21</f>
        <v>0</v>
      </c>
      <c r="H21" s="4">
        <f>'Sprint Summary Q1'!H21</f>
        <v>0</v>
      </c>
      <c r="I21" s="4">
        <f>'Sprint Summary Q2'!B21</f>
        <v>0</v>
      </c>
      <c r="J21" s="4">
        <f>'Sprint Summary Q2'!C21</f>
        <v>0</v>
      </c>
      <c r="K21" s="4">
        <f>'Sprint Summary Q2'!D21</f>
        <v>0</v>
      </c>
      <c r="L21" s="4">
        <f>'Sprint Summary Q2'!E21</f>
        <v>0</v>
      </c>
      <c r="M21" s="4">
        <f>'Sprint Summary Q2'!F21</f>
        <v>0</v>
      </c>
      <c r="N21" s="4">
        <f>'Sprint Summary Q2'!G21</f>
        <v>0</v>
      </c>
      <c r="O21" s="4">
        <f>'Sprint Summary Q3'!B21</f>
        <v>0</v>
      </c>
      <c r="P21" s="4">
        <f>'Sprint Summary Q3'!C21</f>
        <v>0</v>
      </c>
      <c r="Q21" s="4">
        <f>'Sprint Summary Q3'!D21</f>
        <v>0</v>
      </c>
      <c r="R21" s="4">
        <f>'Sprint Summary Q3'!E21</f>
        <v>0</v>
      </c>
      <c r="S21" s="4">
        <f>'Sprint Summary Q3'!F21</f>
        <v>0</v>
      </c>
      <c r="T21" s="4">
        <f>'Sprint Summary Q3'!G21</f>
        <v>0</v>
      </c>
      <c r="U21" s="4">
        <f>'Sprint Summary Q3'!H21</f>
        <v>0</v>
      </c>
      <c r="V21" s="4">
        <f>'Sprint Summary Q4'!B21</f>
        <v>0</v>
      </c>
      <c r="W21" s="4">
        <f>'Sprint Summary Q4'!C21</f>
        <v>0</v>
      </c>
      <c r="X21" s="4">
        <f>'Sprint Summary Q4'!D21</f>
        <v>0</v>
      </c>
      <c r="Y21" s="4">
        <f>'Sprint Summary Q4'!E21</f>
        <v>0</v>
      </c>
      <c r="Z21" s="4">
        <f>'Sprint Summary Q4'!F21</f>
        <v>0</v>
      </c>
      <c r="AA21" s="4">
        <f>'Sprint Summary Q4'!G21</f>
        <v>0</v>
      </c>
      <c r="AB21" s="19">
        <f>SUM(B21:AA21)</f>
        <v>0</v>
      </c>
      <c r="AC21" s="23"/>
    </row>
    <row r="22" spans="1:29" ht="24" customHeight="1" x14ac:dyDescent="0.25">
      <c r="A22" s="2" t="s">
        <v>8</v>
      </c>
      <c r="B22" s="4">
        <f>'Sprint Summary Q1'!B22</f>
        <v>0</v>
      </c>
      <c r="C22" s="4">
        <f>'Sprint Summary Q1'!C22</f>
        <v>0</v>
      </c>
      <c r="D22" s="4">
        <f>'Sprint Summary Q1'!D22</f>
        <v>0</v>
      </c>
      <c r="E22" s="4">
        <f>'Sprint Summary Q1'!E22</f>
        <v>0</v>
      </c>
      <c r="F22" s="4">
        <f>'Sprint Summary Q1'!F22</f>
        <v>0</v>
      </c>
      <c r="G22" s="4">
        <f>'Sprint Summary Q1'!G22</f>
        <v>0</v>
      </c>
      <c r="H22" s="4">
        <f>'Sprint Summary Q1'!H22</f>
        <v>0</v>
      </c>
      <c r="I22" s="4">
        <f>'Sprint Summary Q2'!B22</f>
        <v>0</v>
      </c>
      <c r="J22" s="4">
        <f>'Sprint Summary Q2'!C22</f>
        <v>0</v>
      </c>
      <c r="K22" s="4">
        <f>'Sprint Summary Q2'!D22</f>
        <v>0</v>
      </c>
      <c r="L22" s="4">
        <f>'Sprint Summary Q2'!E22</f>
        <v>0</v>
      </c>
      <c r="M22" s="4">
        <f>'Sprint Summary Q2'!F22</f>
        <v>0</v>
      </c>
      <c r="N22" s="4">
        <f>'Sprint Summary Q2'!G22</f>
        <v>0</v>
      </c>
      <c r="O22" s="4">
        <f>'Sprint Summary Q3'!B22</f>
        <v>0</v>
      </c>
      <c r="P22" s="4">
        <f>'Sprint Summary Q3'!C22</f>
        <v>0</v>
      </c>
      <c r="Q22" s="4">
        <f>'Sprint Summary Q3'!D22</f>
        <v>0</v>
      </c>
      <c r="R22" s="4">
        <f>'Sprint Summary Q3'!E22</f>
        <v>0</v>
      </c>
      <c r="S22" s="4">
        <f>'Sprint Summary Q3'!F22</f>
        <v>0</v>
      </c>
      <c r="T22" s="4">
        <f>'Sprint Summary Q3'!G22</f>
        <v>0</v>
      </c>
      <c r="U22" s="4">
        <f>'Sprint Summary Q3'!H22</f>
        <v>0</v>
      </c>
      <c r="V22" s="4">
        <f>'Sprint Summary Q4'!B22</f>
        <v>0</v>
      </c>
      <c r="W22" s="4">
        <f>'Sprint Summary Q4'!C22</f>
        <v>0</v>
      </c>
      <c r="X22" s="4">
        <f>'Sprint Summary Q4'!D22</f>
        <v>0</v>
      </c>
      <c r="Y22" s="4">
        <f>'Sprint Summary Q4'!E22</f>
        <v>0</v>
      </c>
      <c r="Z22" s="4">
        <f>'Sprint Summary Q4'!F22</f>
        <v>0</v>
      </c>
      <c r="AA22" s="4">
        <f>'Sprint Summary Q4'!G22</f>
        <v>0</v>
      </c>
      <c r="AB22" s="19">
        <f>SUM(B22:AA22)</f>
        <v>0</v>
      </c>
      <c r="AC22" s="23"/>
    </row>
    <row r="23" spans="1:29" ht="24" customHeight="1" x14ac:dyDescent="0.25">
      <c r="A23" s="2" t="s">
        <v>4</v>
      </c>
      <c r="B23" s="7" t="e">
        <f>IFERROR(B21/(B21+B22),NA())</f>
        <v>#N/A</v>
      </c>
      <c r="C23" s="7" t="e">
        <f t="shared" ref="C23:H23" si="0">IFERROR(C21/(C21+C22),NA())</f>
        <v>#N/A</v>
      </c>
      <c r="D23" s="7" t="e">
        <f t="shared" si="0"/>
        <v>#N/A</v>
      </c>
      <c r="E23" s="7" t="e">
        <f t="shared" si="0"/>
        <v>#N/A</v>
      </c>
      <c r="F23" s="7" t="e">
        <f t="shared" si="0"/>
        <v>#N/A</v>
      </c>
      <c r="G23" s="7" t="e">
        <f t="shared" si="0"/>
        <v>#N/A</v>
      </c>
      <c r="H23" s="7" t="e">
        <f t="shared" si="0"/>
        <v>#N/A</v>
      </c>
      <c r="I23" s="7" t="e">
        <f t="shared" ref="I23:AA23" si="1">IFERROR(I21/(I21+I22),NA())</f>
        <v>#N/A</v>
      </c>
      <c r="J23" s="7" t="e">
        <f t="shared" si="1"/>
        <v>#N/A</v>
      </c>
      <c r="K23" s="7" t="e">
        <f t="shared" si="1"/>
        <v>#N/A</v>
      </c>
      <c r="L23" s="7" t="e">
        <f t="shared" si="1"/>
        <v>#N/A</v>
      </c>
      <c r="M23" s="7" t="e">
        <f t="shared" si="1"/>
        <v>#N/A</v>
      </c>
      <c r="N23" s="7" t="e">
        <f t="shared" si="1"/>
        <v>#N/A</v>
      </c>
      <c r="O23" s="7" t="e">
        <f t="shared" si="1"/>
        <v>#N/A</v>
      </c>
      <c r="P23" s="7" t="e">
        <f t="shared" si="1"/>
        <v>#N/A</v>
      </c>
      <c r="Q23" s="7" t="e">
        <f t="shared" si="1"/>
        <v>#N/A</v>
      </c>
      <c r="R23" s="7" t="e">
        <f t="shared" si="1"/>
        <v>#N/A</v>
      </c>
      <c r="S23" s="7" t="e">
        <f t="shared" si="1"/>
        <v>#N/A</v>
      </c>
      <c r="T23" s="7" t="e">
        <f t="shared" si="1"/>
        <v>#N/A</v>
      </c>
      <c r="U23" s="7" t="e">
        <f t="shared" si="1"/>
        <v>#N/A</v>
      </c>
      <c r="V23" s="7" t="e">
        <f t="shared" si="1"/>
        <v>#N/A</v>
      </c>
      <c r="W23" s="7" t="e">
        <f t="shared" si="1"/>
        <v>#N/A</v>
      </c>
      <c r="X23" s="7" t="e">
        <f t="shared" si="1"/>
        <v>#N/A</v>
      </c>
      <c r="Y23" s="7" t="e">
        <f t="shared" si="1"/>
        <v>#N/A</v>
      </c>
      <c r="Z23" s="7" t="e">
        <f t="shared" si="1"/>
        <v>#N/A</v>
      </c>
      <c r="AA23" s="7" t="e">
        <f t="shared" si="1"/>
        <v>#N/A</v>
      </c>
      <c r="AB23" s="21" t="e">
        <f>IFERROR(AVERAGEIF(B23:AA23,"&gt;-1"),NA())</f>
        <v>#N/A</v>
      </c>
      <c r="AC23" s="21" t="e">
        <f>IFERROR(COUNTIF(B23:AA23,"=1")/(COUNTIF(B23:AA23,"&gt;0")+COUNTIF(B23:AA23,0)),NA())</f>
        <v>#N/A</v>
      </c>
    </row>
    <row r="24" spans="1:29" ht="24" customHeight="1" x14ac:dyDescent="0.35">
      <c r="A24" s="72"/>
      <c r="B24" s="73"/>
      <c r="C24" s="73"/>
      <c r="D24" s="73"/>
      <c r="E24" s="73"/>
      <c r="F24" s="73"/>
      <c r="G24" s="73"/>
      <c r="H24" s="73"/>
      <c r="I24" s="73"/>
      <c r="J24" s="73"/>
      <c r="K24" s="73"/>
      <c r="L24" s="73"/>
      <c r="M24" s="73"/>
      <c r="N24" s="73"/>
      <c r="O24" s="73"/>
      <c r="P24" s="73"/>
      <c r="Q24" s="73"/>
      <c r="R24" s="73"/>
      <c r="S24" s="73"/>
      <c r="T24" s="73"/>
      <c r="U24" s="73"/>
      <c r="V24" s="73"/>
      <c r="W24" s="73"/>
      <c r="X24" s="73"/>
      <c r="Y24" s="73"/>
      <c r="Z24" s="73"/>
      <c r="AA24" s="73"/>
      <c r="AB24" s="73"/>
      <c r="AC24" s="74"/>
    </row>
    <row r="25" spans="1:29" ht="24" customHeight="1" x14ac:dyDescent="0.25">
      <c r="A25" s="67" t="s">
        <v>131</v>
      </c>
      <c r="B25" s="67"/>
      <c r="C25" s="67"/>
      <c r="D25" s="67"/>
      <c r="E25" s="67"/>
      <c r="F25" s="67"/>
      <c r="G25" s="67"/>
      <c r="H25" s="67"/>
      <c r="I25" s="21">
        <f>IFERROR(COUNTIF(I5,"=1")/(COUNTIF(I5,"&gt;0")),NA())</f>
        <v>0</v>
      </c>
      <c r="J25" s="21">
        <f t="shared" ref="J25:AA25" si="2">IFERROR(COUNTIF(J5,"=1")/(COUNTIF(J5,"&gt;0")),NA())</f>
        <v>1</v>
      </c>
      <c r="K25" s="21" t="e">
        <f t="shared" si="2"/>
        <v>#N/A</v>
      </c>
      <c r="L25" s="21" t="e">
        <f t="shared" si="2"/>
        <v>#N/A</v>
      </c>
      <c r="M25" s="21" t="e">
        <f t="shared" si="2"/>
        <v>#N/A</v>
      </c>
      <c r="N25" s="21" t="e">
        <f t="shared" si="2"/>
        <v>#N/A</v>
      </c>
      <c r="O25" s="21" t="e">
        <f t="shared" si="2"/>
        <v>#N/A</v>
      </c>
      <c r="P25" s="21" t="e">
        <f t="shared" si="2"/>
        <v>#N/A</v>
      </c>
      <c r="Q25" s="21" t="e">
        <f t="shared" si="2"/>
        <v>#N/A</v>
      </c>
      <c r="R25" s="21" t="e">
        <f t="shared" si="2"/>
        <v>#N/A</v>
      </c>
      <c r="S25" s="21" t="e">
        <f t="shared" si="2"/>
        <v>#N/A</v>
      </c>
      <c r="T25" s="21" t="e">
        <f t="shared" si="2"/>
        <v>#N/A</v>
      </c>
      <c r="U25" s="21" t="e">
        <f t="shared" si="2"/>
        <v>#N/A</v>
      </c>
      <c r="V25" s="21" t="e">
        <f t="shared" si="2"/>
        <v>#N/A</v>
      </c>
      <c r="W25" s="21" t="e">
        <f t="shared" si="2"/>
        <v>#N/A</v>
      </c>
      <c r="X25" s="21" t="e">
        <f t="shared" si="2"/>
        <v>#N/A</v>
      </c>
      <c r="Y25" s="21" t="e">
        <f t="shared" si="2"/>
        <v>#N/A</v>
      </c>
      <c r="Z25" s="21" t="e">
        <f t="shared" si="2"/>
        <v>#N/A</v>
      </c>
      <c r="AA25" s="21" t="e">
        <f t="shared" si="2"/>
        <v>#N/A</v>
      </c>
    </row>
    <row r="26" spans="1:29" ht="24" customHeight="1" x14ac:dyDescent="0.25"/>
    <row r="27" spans="1:29" ht="24" customHeight="1" x14ac:dyDescent="0.25">
      <c r="A27" s="37" t="s">
        <v>135</v>
      </c>
      <c r="B27" s="37"/>
      <c r="C27" s="37"/>
      <c r="D27" s="37"/>
      <c r="E27" s="37"/>
      <c r="F27" s="37"/>
      <c r="G27" s="37"/>
      <c r="H27" s="37"/>
      <c r="I27" s="70" t="s">
        <v>136</v>
      </c>
      <c r="J27" s="70" t="s">
        <v>58</v>
      </c>
      <c r="K27" s="70" t="s">
        <v>59</v>
      </c>
      <c r="L27" s="70" t="s">
        <v>60</v>
      </c>
      <c r="O27" s="50"/>
      <c r="P27" s="51"/>
      <c r="Q27" s="51"/>
    </row>
    <row r="28" spans="1:29" ht="24" customHeight="1" x14ac:dyDescent="0.25">
      <c r="A28" s="1" t="s">
        <v>37</v>
      </c>
      <c r="I28" s="38">
        <f>IFERROR('Sprint Summary Q1'!$I$5,NA())</f>
        <v>0.94814814814814818</v>
      </c>
      <c r="J28" s="38">
        <f>IFERROR('Sprint Summary Q2'!$H$5,NA())</f>
        <v>0.90909090909090917</v>
      </c>
      <c r="K28" s="38" t="e">
        <f>IFERROR('Sprint Summary Q3'!$I$5,NA())</f>
        <v>#N/A</v>
      </c>
      <c r="L28" s="38" t="e">
        <f>IFERROR('Sprint Summary Q4'!$I$5,NA())</f>
        <v>#N/A</v>
      </c>
      <c r="O28" s="38"/>
      <c r="P28" s="38"/>
      <c r="Q28" s="38"/>
    </row>
    <row r="29" spans="1:29" ht="24" customHeight="1" x14ac:dyDescent="0.25"/>
    <row r="30" spans="1:29" ht="24" customHeight="1" x14ac:dyDescent="0.25">
      <c r="A30" s="37" t="s">
        <v>57</v>
      </c>
      <c r="B30" s="37"/>
      <c r="C30" s="37"/>
      <c r="D30" s="37"/>
      <c r="E30" s="37"/>
      <c r="F30" s="37"/>
      <c r="G30" s="37"/>
      <c r="H30" s="37"/>
      <c r="I30" s="70" t="s">
        <v>136</v>
      </c>
      <c r="J30" s="70" t="s">
        <v>58</v>
      </c>
      <c r="K30" s="70" t="s">
        <v>59</v>
      </c>
      <c r="L30" s="70" t="s">
        <v>60</v>
      </c>
    </row>
    <row r="31" spans="1:29" ht="24" customHeight="1" x14ac:dyDescent="0.25">
      <c r="A31" s="1" t="s">
        <v>38</v>
      </c>
      <c r="I31" s="38">
        <f>IFERROR('Sprint Summary Q1'!J5,NA())</f>
        <v>0.66666666666666663</v>
      </c>
      <c r="J31" s="38">
        <f>IFERROR('Sprint Summary Q2'!H5,NA())</f>
        <v>0.90909090909090917</v>
      </c>
      <c r="K31" s="38" t="e">
        <f>IFERROR('Sprint Summary Q3'!I5,NA())</f>
        <v>#N/A</v>
      </c>
      <c r="L31" s="38" t="e">
        <f>IFERROR('Sprint Summary Q4'!H5,NA())</f>
        <v>#N/A</v>
      </c>
      <c r="Q31" s="50"/>
      <c r="R31" s="51"/>
      <c r="S31" s="51"/>
    </row>
    <row r="32" spans="1:29" ht="24" customHeight="1" x14ac:dyDescent="0.25">
      <c r="Q32" s="38"/>
      <c r="R32" s="38"/>
      <c r="S32" s="38"/>
    </row>
    <row r="33" spans="1:29" ht="24" customHeight="1" x14ac:dyDescent="0.25">
      <c r="A33" s="37" t="s">
        <v>61</v>
      </c>
      <c r="B33" s="37"/>
      <c r="C33" s="37"/>
      <c r="D33" s="37"/>
      <c r="E33" s="37"/>
      <c r="F33" s="37"/>
      <c r="G33" s="37"/>
      <c r="H33" s="37"/>
      <c r="L33" s="46"/>
      <c r="P33" s="50" t="s">
        <v>58</v>
      </c>
      <c r="Q33" s="51" t="s">
        <v>59</v>
      </c>
      <c r="R33" s="51" t="s">
        <v>60</v>
      </c>
    </row>
    <row r="34" spans="1:29" ht="24" customHeight="1" x14ac:dyDescent="0.25">
      <c r="A34" s="1" t="s">
        <v>137</v>
      </c>
      <c r="P34" s="5">
        <f>IFERROR(AVERAGEIF(I3:N3,"&gt;-1"),NA())</f>
        <v>2.5</v>
      </c>
      <c r="Q34" s="5">
        <f>IFERROR(AVERAGEIF(O3:T3,"&gt;-1"),NA())</f>
        <v>0</v>
      </c>
      <c r="R34" s="5">
        <f>IFERROR(AVERAGEIF(U3:AA3,"&gt;-1"),NA())</f>
        <v>0</v>
      </c>
    </row>
    <row r="35" spans="1:29" ht="24" customHeight="1" x14ac:dyDescent="0.25"/>
    <row r="36" spans="1:29" ht="24" customHeight="1" x14ac:dyDescent="0.25">
      <c r="A36" s="37" t="s">
        <v>36</v>
      </c>
      <c r="B36" s="37"/>
      <c r="C36" s="37"/>
      <c r="D36" s="37"/>
      <c r="E36" s="37"/>
      <c r="F36" s="37"/>
      <c r="G36" s="37"/>
      <c r="H36" s="37"/>
      <c r="I36" s="70" t="s">
        <v>136</v>
      </c>
      <c r="J36" s="70" t="s">
        <v>58</v>
      </c>
      <c r="K36" s="70" t="s">
        <v>59</v>
      </c>
      <c r="L36" s="70" t="s">
        <v>60</v>
      </c>
      <c r="M36" s="70" t="s">
        <v>55</v>
      </c>
      <c r="P36" s="50"/>
      <c r="Q36" s="51"/>
      <c r="R36" s="51"/>
      <c r="S36" s="46"/>
    </row>
    <row r="37" spans="1:29" ht="24" customHeight="1" x14ac:dyDescent="0.25">
      <c r="A37" s="1" t="s">
        <v>28</v>
      </c>
      <c r="I37" s="39">
        <f t="shared" ref="I37:M37" si="3">IFERROR(1-I38,NA())</f>
        <v>0.50416666666666665</v>
      </c>
      <c r="J37" s="39">
        <f t="shared" si="3"/>
        <v>1</v>
      </c>
      <c r="K37" s="39" t="e">
        <f t="shared" si="3"/>
        <v>#N/A</v>
      </c>
      <c r="L37" s="39">
        <f t="shared" si="3"/>
        <v>1</v>
      </c>
      <c r="M37" s="39">
        <f t="shared" si="3"/>
        <v>0.55833333333333335</v>
      </c>
      <c r="P37" s="39"/>
      <c r="Q37" s="39"/>
      <c r="R37" s="39"/>
      <c r="S37" s="39"/>
      <c r="V37" s="18"/>
    </row>
    <row r="38" spans="1:29" ht="24" customHeight="1" x14ac:dyDescent="0.25">
      <c r="A38" s="1" t="s">
        <v>130</v>
      </c>
      <c r="I38" s="38">
        <f>IFERROR('Sprint Summary Q1'!I19,NA())</f>
        <v>0.49583333333333335</v>
      </c>
      <c r="J38" s="38">
        <f>IFERROR('Sprint Summary Q2'!I19,NA())</f>
        <v>0</v>
      </c>
      <c r="K38" s="38" t="e">
        <f>IFERROR('Sprint Summary Q3'!I19,NA())</f>
        <v>#N/A</v>
      </c>
      <c r="L38" s="38">
        <f>IFERROR('Sprint Summary Q4'!I19,NA())</f>
        <v>0</v>
      </c>
      <c r="M38" s="18">
        <f>IFERROR(AB19,NA())</f>
        <v>0.44166666666666665</v>
      </c>
      <c r="P38" s="38"/>
      <c r="Q38" s="38"/>
      <c r="R38" s="38"/>
      <c r="S38" s="18"/>
      <c r="V38" s="18"/>
    </row>
    <row r="39" spans="1:29" ht="24" customHeight="1" x14ac:dyDescent="0.25"/>
    <row r="40" spans="1:29" ht="24" customHeight="1" x14ac:dyDescent="0.25">
      <c r="A40" s="37" t="s">
        <v>54</v>
      </c>
      <c r="B40" s="37"/>
      <c r="C40" s="37"/>
      <c r="D40" s="37"/>
      <c r="E40" s="37"/>
      <c r="F40" s="37"/>
      <c r="G40" s="37"/>
      <c r="H40" s="37"/>
      <c r="I40" s="50" t="s">
        <v>58</v>
      </c>
      <c r="J40" s="51" t="s">
        <v>59</v>
      </c>
      <c r="K40" s="51" t="s">
        <v>60</v>
      </c>
      <c r="L40" s="46" t="s">
        <v>56</v>
      </c>
    </row>
    <row r="41" spans="1:29" ht="24" customHeight="1" x14ac:dyDescent="0.25">
      <c r="A41" s="1" t="s">
        <v>37</v>
      </c>
      <c r="I41" s="1"/>
      <c r="J41" s="18" t="e">
        <f>IFERROR(('Sprint Summary Q3'!$I$5-'Sprint Summary Q2'!#REF!)/'Sprint Summary Q2'!#REF!,NA())</f>
        <v>#N/A</v>
      </c>
      <c r="K41" s="18" t="e">
        <f>IFERROR(('Sprint Summary Q4'!H5-'Sprint Summary Q3'!$I$5)/'Sprint Summary Q3'!$I$5,NA())</f>
        <v>#N/A</v>
      </c>
      <c r="L41" s="18" t="e">
        <f>IFERROR(('Sprint Summary Q4'!H5-'Sprint Summary Q2'!#REF!)/'Sprint Summary Q2'!#REF!,NA())</f>
        <v>#N/A</v>
      </c>
      <c r="M41" s="24"/>
      <c r="O41" s="18"/>
      <c r="P41" s="42"/>
    </row>
    <row r="42" spans="1:29" ht="24" customHeight="1" x14ac:dyDescent="0.25">
      <c r="A42" s="1" t="s">
        <v>38</v>
      </c>
      <c r="I42" s="1"/>
      <c r="J42" s="18" t="e">
        <f>IFERROR(('Sprint Summary Q3'!J5-'Sprint Summary Q2'!H5)/'Sprint Summary Q2'!H5,NA())</f>
        <v>#N/A</v>
      </c>
      <c r="K42" s="18" t="e">
        <f>IFERROR(('Sprint Summary Q4'!I5-'Sprint Summary Q3'!J5)/'Sprint Summary Q3'!J5,NA())</f>
        <v>#N/A</v>
      </c>
      <c r="L42" s="18" t="e">
        <f>IFERROR(('Sprint Summary Q4'!I5-'Sprint Summary Q2'!$H$5)/'Sprint Summary Q2'!$H$5,NA())</f>
        <v>#N/A</v>
      </c>
      <c r="M42" s="42"/>
      <c r="O42" s="18"/>
      <c r="P42" s="24"/>
    </row>
    <row r="43" spans="1:29" ht="24" customHeight="1" x14ac:dyDescent="0.25">
      <c r="A43" s="1" t="s">
        <v>39</v>
      </c>
      <c r="J43" s="18" t="e">
        <f>IFERROR(('Sprint Summary Q3'!I19-'Sprint Summary Q2'!H19)/'Sprint Summary Q2'!H19,NA())</f>
        <v>#N/A</v>
      </c>
      <c r="K43" s="18" t="e">
        <f>IFERROR(('Sprint Summary Q4'!H19-'Sprint Summary Q3'!I19)/'Sprint Summary Q3'!I19,NA())</f>
        <v>#N/A</v>
      </c>
      <c r="L43" s="18" t="e">
        <f>IFERROR(('Sprint Summary Q4'!H19-'Sprint Summary Q2'!$H$19)/'Sprint Summary Q2'!$H$19,NA())</f>
        <v>#N/A</v>
      </c>
      <c r="M43" s="47"/>
      <c r="N43" s="44"/>
      <c r="O43" s="24"/>
      <c r="P43" s="43"/>
      <c r="Q43" s="18"/>
    </row>
    <row r="44" spans="1:29" ht="24" customHeight="1" x14ac:dyDescent="0.25">
      <c r="A44" s="1" t="s">
        <v>40</v>
      </c>
      <c r="J44" s="18" t="e">
        <f>IFERROR(('Sprint Summary Q3'!I23-'Sprint Summary Q2'!G23)/'Sprint Summary Q2'!G23,NA())</f>
        <v>#N/A</v>
      </c>
      <c r="K44" s="18" t="e">
        <f>IFERROR(('Sprint Summary Q4'!H23-'Sprint Summary Q3'!I23)/'Sprint Summary Q3'!I23,NA())</f>
        <v>#N/A</v>
      </c>
      <c r="L44" s="48" t="e">
        <f>IFERROR(('Sprint Summary Q4'!H23-'Sprint Summary Q2'!$G$23)/'Sprint Summary Q2'!$G$23,NA())</f>
        <v>#N/A</v>
      </c>
    </row>
    <row r="45" spans="1:29" ht="24" customHeight="1" x14ac:dyDescent="0.25"/>
    <row r="46" spans="1:29" ht="24" customHeight="1" x14ac:dyDescent="0.25">
      <c r="A46" s="37" t="s">
        <v>41</v>
      </c>
      <c r="B46" s="37"/>
      <c r="C46" s="37"/>
      <c r="D46" s="37"/>
      <c r="E46" s="37"/>
      <c r="F46" s="37"/>
      <c r="G46" s="37"/>
      <c r="H46" s="37"/>
    </row>
    <row r="47" spans="1:29" ht="24" customHeight="1" x14ac:dyDescent="0.25">
      <c r="A47" s="1" t="s">
        <v>47</v>
      </c>
      <c r="I47" s="38">
        <f>IF(SUM(I$14:I$18)&gt;0,I14/SUM(I$14:I$18),NA())</f>
        <v>0.44444444444444442</v>
      </c>
      <c r="J47" s="38">
        <f>IF(SUM(J$14:J$18)&gt;0,J14/SUM(J$14:J$18),NA())</f>
        <v>0.33333333333333331</v>
      </c>
      <c r="K47" s="38" t="e">
        <f>IF(SUM(K$14:K$18)&gt;0,K14/SUM(K$14:K$18),NA())</f>
        <v>#N/A</v>
      </c>
      <c r="L47" s="38" t="e">
        <f>IF(SUM(L$14:L$18)&gt;0,L14/SUM(L$14:L$18),NA())</f>
        <v>#N/A</v>
      </c>
      <c r="M47" s="38" t="e">
        <f t="shared" ref="M47:AA47" si="4">IF(SUM(M$14:M$18)&gt;0,M14/SUM(M$14:M$18),NA())</f>
        <v>#N/A</v>
      </c>
      <c r="N47" s="38" t="e">
        <f t="shared" si="4"/>
        <v>#N/A</v>
      </c>
      <c r="O47" s="38" t="e">
        <f t="shared" si="4"/>
        <v>#N/A</v>
      </c>
      <c r="P47" s="38" t="e">
        <f t="shared" si="4"/>
        <v>#N/A</v>
      </c>
      <c r="Q47" s="38" t="e">
        <f t="shared" si="4"/>
        <v>#N/A</v>
      </c>
      <c r="R47" s="38" t="e">
        <f t="shared" si="4"/>
        <v>#N/A</v>
      </c>
      <c r="S47" s="38" t="e">
        <f t="shared" si="4"/>
        <v>#N/A</v>
      </c>
      <c r="T47" s="38" t="e">
        <f t="shared" si="4"/>
        <v>#N/A</v>
      </c>
      <c r="U47" s="38" t="e">
        <f t="shared" si="4"/>
        <v>#N/A</v>
      </c>
      <c r="V47" s="38" t="e">
        <f t="shared" si="4"/>
        <v>#N/A</v>
      </c>
      <c r="W47" s="38" t="e">
        <f t="shared" si="4"/>
        <v>#N/A</v>
      </c>
      <c r="X47" s="38" t="e">
        <f t="shared" si="4"/>
        <v>#N/A</v>
      </c>
      <c r="Y47" s="38" t="e">
        <f t="shared" si="4"/>
        <v>#N/A</v>
      </c>
      <c r="Z47" s="38" t="e">
        <f t="shared" si="4"/>
        <v>#N/A</v>
      </c>
      <c r="AA47" s="38" t="e">
        <f t="shared" si="4"/>
        <v>#N/A</v>
      </c>
      <c r="AB47" s="45">
        <f>IFERROR(AVERAGEIF(I47:AA47,"&gt;-1"),NA())</f>
        <v>0.38888888888888884</v>
      </c>
      <c r="AC47" s="18"/>
    </row>
    <row r="48" spans="1:29" ht="24" customHeight="1" x14ac:dyDescent="0.25">
      <c r="A48" s="1" t="s">
        <v>48</v>
      </c>
      <c r="I48" s="38">
        <f t="shared" ref="I48:K51" si="5">IF(SUM(I$14:I$18)&gt;0,I15/SUM(I$14:I$18),NA())</f>
        <v>0.1111111111111111</v>
      </c>
      <c r="J48" s="38">
        <f t="shared" si="5"/>
        <v>0.1111111111111111</v>
      </c>
      <c r="K48" s="38" t="e">
        <f t="shared" si="5"/>
        <v>#N/A</v>
      </c>
      <c r="L48" s="38" t="e">
        <f t="shared" ref="L48:AA48" si="6">IF(SUM(L$14:L$18)&gt;0,L15/SUM(L$14:L$18),NA())</f>
        <v>#N/A</v>
      </c>
      <c r="M48" s="38" t="e">
        <f t="shared" si="6"/>
        <v>#N/A</v>
      </c>
      <c r="N48" s="38" t="e">
        <f t="shared" si="6"/>
        <v>#N/A</v>
      </c>
      <c r="O48" s="38" t="e">
        <f t="shared" si="6"/>
        <v>#N/A</v>
      </c>
      <c r="P48" s="38" t="e">
        <f t="shared" si="6"/>
        <v>#N/A</v>
      </c>
      <c r="Q48" s="38" t="e">
        <f t="shared" si="6"/>
        <v>#N/A</v>
      </c>
      <c r="R48" s="38" t="e">
        <f t="shared" si="6"/>
        <v>#N/A</v>
      </c>
      <c r="S48" s="38" t="e">
        <f t="shared" si="6"/>
        <v>#N/A</v>
      </c>
      <c r="T48" s="38" t="e">
        <f t="shared" si="6"/>
        <v>#N/A</v>
      </c>
      <c r="U48" s="38" t="e">
        <f t="shared" si="6"/>
        <v>#N/A</v>
      </c>
      <c r="V48" s="38" t="e">
        <f t="shared" si="6"/>
        <v>#N/A</v>
      </c>
      <c r="W48" s="38" t="e">
        <f t="shared" si="6"/>
        <v>#N/A</v>
      </c>
      <c r="X48" s="38" t="e">
        <f t="shared" si="6"/>
        <v>#N/A</v>
      </c>
      <c r="Y48" s="38" t="e">
        <f t="shared" si="6"/>
        <v>#N/A</v>
      </c>
      <c r="Z48" s="38" t="e">
        <f t="shared" si="6"/>
        <v>#N/A</v>
      </c>
      <c r="AA48" s="38" t="e">
        <f t="shared" si="6"/>
        <v>#N/A</v>
      </c>
      <c r="AB48" s="45">
        <f t="shared" ref="AB48:AB51" si="7">IFERROR(AVERAGEIF(I48:AA48,"&gt;-1"),NA())</f>
        <v>0.1111111111111111</v>
      </c>
      <c r="AC48" s="18"/>
    </row>
    <row r="49" spans="1:29" ht="24" customHeight="1" x14ac:dyDescent="0.25">
      <c r="A49" s="1" t="s">
        <v>49</v>
      </c>
      <c r="I49" s="38">
        <f t="shared" si="5"/>
        <v>0.44444444444444442</v>
      </c>
      <c r="J49" s="38">
        <f t="shared" si="5"/>
        <v>0.33333333333333331</v>
      </c>
      <c r="K49" s="38" t="e">
        <f t="shared" si="5"/>
        <v>#N/A</v>
      </c>
      <c r="L49" s="38" t="e">
        <f>IF(SUM(L$14:L$18)&gt;0,L16/SUM(L$14:L$18),NA())</f>
        <v>#N/A</v>
      </c>
      <c r="M49" s="38" t="e">
        <f>IF(SUM(M$14:M$18)&gt;0,M16/SUM(M$14:M$18),NA())</f>
        <v>#N/A</v>
      </c>
      <c r="N49" s="38" t="e">
        <f t="shared" ref="N49:AA49" si="8">IF(SUM(N$14:N$18)&gt;0,N16/SUM(N$14:N$18),NA())</f>
        <v>#N/A</v>
      </c>
      <c r="O49" s="38" t="e">
        <f t="shared" si="8"/>
        <v>#N/A</v>
      </c>
      <c r="P49" s="38" t="e">
        <f t="shared" si="8"/>
        <v>#N/A</v>
      </c>
      <c r="Q49" s="38" t="e">
        <f t="shared" si="8"/>
        <v>#N/A</v>
      </c>
      <c r="R49" s="38" t="e">
        <f t="shared" si="8"/>
        <v>#N/A</v>
      </c>
      <c r="S49" s="38" t="e">
        <f t="shared" si="8"/>
        <v>#N/A</v>
      </c>
      <c r="T49" s="38" t="e">
        <f t="shared" si="8"/>
        <v>#N/A</v>
      </c>
      <c r="U49" s="38" t="e">
        <f t="shared" si="8"/>
        <v>#N/A</v>
      </c>
      <c r="V49" s="38" t="e">
        <f t="shared" si="8"/>
        <v>#N/A</v>
      </c>
      <c r="W49" s="38" t="e">
        <f t="shared" si="8"/>
        <v>#N/A</v>
      </c>
      <c r="X49" s="38" t="e">
        <f t="shared" si="8"/>
        <v>#N/A</v>
      </c>
      <c r="Y49" s="38" t="e">
        <f t="shared" si="8"/>
        <v>#N/A</v>
      </c>
      <c r="Z49" s="38" t="e">
        <f t="shared" si="8"/>
        <v>#N/A</v>
      </c>
      <c r="AA49" s="38" t="e">
        <f t="shared" si="8"/>
        <v>#N/A</v>
      </c>
      <c r="AB49" s="45">
        <f t="shared" si="7"/>
        <v>0.38888888888888884</v>
      </c>
      <c r="AC49" s="18"/>
    </row>
    <row r="50" spans="1:29" ht="24" customHeight="1" x14ac:dyDescent="0.25">
      <c r="A50" s="1" t="s">
        <v>50</v>
      </c>
      <c r="I50" s="38">
        <f t="shared" si="5"/>
        <v>0</v>
      </c>
      <c r="J50" s="38">
        <f t="shared" si="5"/>
        <v>0.22222222222222221</v>
      </c>
      <c r="K50" s="38" t="e">
        <f t="shared" si="5"/>
        <v>#N/A</v>
      </c>
      <c r="L50" s="38" t="e">
        <f t="shared" ref="L50:AA50" si="9">IF(SUM(L$14:L$18)&gt;0,L17/SUM(L$14:L$18),NA())</f>
        <v>#N/A</v>
      </c>
      <c r="M50" s="38" t="e">
        <f t="shared" si="9"/>
        <v>#N/A</v>
      </c>
      <c r="N50" s="38" t="e">
        <f t="shared" si="9"/>
        <v>#N/A</v>
      </c>
      <c r="O50" s="38" t="e">
        <f t="shared" si="9"/>
        <v>#N/A</v>
      </c>
      <c r="P50" s="38" t="e">
        <f t="shared" si="9"/>
        <v>#N/A</v>
      </c>
      <c r="Q50" s="38" t="e">
        <f t="shared" si="9"/>
        <v>#N/A</v>
      </c>
      <c r="R50" s="38" t="e">
        <f t="shared" si="9"/>
        <v>#N/A</v>
      </c>
      <c r="S50" s="38" t="e">
        <f t="shared" si="9"/>
        <v>#N/A</v>
      </c>
      <c r="T50" s="38" t="e">
        <f t="shared" si="9"/>
        <v>#N/A</v>
      </c>
      <c r="U50" s="38" t="e">
        <f t="shared" si="9"/>
        <v>#N/A</v>
      </c>
      <c r="V50" s="38" t="e">
        <f t="shared" si="9"/>
        <v>#N/A</v>
      </c>
      <c r="W50" s="38" t="e">
        <f t="shared" si="9"/>
        <v>#N/A</v>
      </c>
      <c r="X50" s="38" t="e">
        <f t="shared" si="9"/>
        <v>#N/A</v>
      </c>
      <c r="Y50" s="38" t="e">
        <f t="shared" si="9"/>
        <v>#N/A</v>
      </c>
      <c r="Z50" s="38" t="e">
        <f t="shared" si="9"/>
        <v>#N/A</v>
      </c>
      <c r="AA50" s="38" t="e">
        <f t="shared" si="9"/>
        <v>#N/A</v>
      </c>
      <c r="AB50" s="45">
        <f t="shared" si="7"/>
        <v>0.1111111111111111</v>
      </c>
      <c r="AC50" s="18"/>
    </row>
    <row r="51" spans="1:29" ht="24" customHeight="1" x14ac:dyDescent="0.25">
      <c r="A51" s="1" t="s">
        <v>51</v>
      </c>
      <c r="I51" s="38">
        <f t="shared" si="5"/>
        <v>0</v>
      </c>
      <c r="J51" s="38">
        <f t="shared" si="5"/>
        <v>0</v>
      </c>
      <c r="K51" s="38" t="e">
        <f t="shared" si="5"/>
        <v>#N/A</v>
      </c>
      <c r="L51" s="38" t="e">
        <f t="shared" ref="L51:AA51" si="10">IF(SUM(L$14:L$18)&gt;0,L18/SUM(L$14:L$18),NA())</f>
        <v>#N/A</v>
      </c>
      <c r="M51" s="38" t="e">
        <f t="shared" si="10"/>
        <v>#N/A</v>
      </c>
      <c r="N51" s="38" t="e">
        <f t="shared" si="10"/>
        <v>#N/A</v>
      </c>
      <c r="O51" s="38" t="e">
        <f t="shared" si="10"/>
        <v>#N/A</v>
      </c>
      <c r="P51" s="38" t="e">
        <f t="shared" si="10"/>
        <v>#N/A</v>
      </c>
      <c r="Q51" s="38" t="e">
        <f t="shared" si="10"/>
        <v>#N/A</v>
      </c>
      <c r="R51" s="38" t="e">
        <f t="shared" si="10"/>
        <v>#N/A</v>
      </c>
      <c r="S51" s="38" t="e">
        <f t="shared" si="10"/>
        <v>#N/A</v>
      </c>
      <c r="T51" s="38" t="e">
        <f t="shared" si="10"/>
        <v>#N/A</v>
      </c>
      <c r="U51" s="38" t="e">
        <f t="shared" si="10"/>
        <v>#N/A</v>
      </c>
      <c r="V51" s="38" t="e">
        <f t="shared" si="10"/>
        <v>#N/A</v>
      </c>
      <c r="W51" s="38" t="e">
        <f t="shared" si="10"/>
        <v>#N/A</v>
      </c>
      <c r="X51" s="38" t="e">
        <f t="shared" si="10"/>
        <v>#N/A</v>
      </c>
      <c r="Y51" s="38" t="e">
        <f t="shared" si="10"/>
        <v>#N/A</v>
      </c>
      <c r="Z51" s="38" t="e">
        <f t="shared" si="10"/>
        <v>#N/A</v>
      </c>
      <c r="AA51" s="38" t="e">
        <f t="shared" si="10"/>
        <v>#N/A</v>
      </c>
      <c r="AB51" s="45">
        <f t="shared" si="7"/>
        <v>0</v>
      </c>
      <c r="AC51" s="18"/>
    </row>
    <row r="52" spans="1:29" ht="24" customHeight="1" x14ac:dyDescent="0.25">
      <c r="I52" s="38"/>
      <c r="J52" s="38"/>
      <c r="K52" s="38"/>
      <c r="L52" s="38"/>
      <c r="M52" s="38"/>
      <c r="N52" s="38"/>
      <c r="O52" s="38"/>
      <c r="P52" s="38"/>
      <c r="Q52" s="38"/>
      <c r="R52" s="38"/>
      <c r="S52" s="38"/>
      <c r="T52" s="38"/>
      <c r="U52" s="38"/>
      <c r="V52" s="38"/>
      <c r="W52" s="38"/>
      <c r="X52" s="38"/>
      <c r="Y52" s="38"/>
      <c r="Z52" s="38"/>
      <c r="AA52" s="38"/>
      <c r="AB52" s="45"/>
      <c r="AC52" s="18"/>
    </row>
    <row r="53" spans="1:29" ht="24" customHeight="1" x14ac:dyDescent="0.25">
      <c r="A53" s="37" t="s">
        <v>42</v>
      </c>
      <c r="B53" s="37"/>
      <c r="C53" s="37"/>
      <c r="D53" s="37"/>
      <c r="E53" s="37"/>
      <c r="F53" s="37"/>
      <c r="G53" s="37"/>
      <c r="H53" s="37"/>
      <c r="I53" s="50" t="s">
        <v>58</v>
      </c>
      <c r="J53" s="51" t="s">
        <v>59</v>
      </c>
      <c r="K53" s="51" t="s">
        <v>60</v>
      </c>
      <c r="L53" s="46" t="s">
        <v>55</v>
      </c>
    </row>
    <row r="54" spans="1:29" ht="24" customHeight="1" x14ac:dyDescent="0.25">
      <c r="A54" s="1" t="s">
        <v>31</v>
      </c>
      <c r="I54" s="38">
        <f>IFERROR(AVERAGEIF(I47:N47,"&gt;-1"),NA())</f>
        <v>0.38888888888888884</v>
      </c>
      <c r="J54" s="38" t="e">
        <f>IFERROR(AVERAGEIF(O47:T47,"&gt;-1"),NA())</f>
        <v>#N/A</v>
      </c>
      <c r="K54" s="38" t="e">
        <f>IFERROR(AVERAGEIF(U47:AA47,"&gt;-1"),NA())</f>
        <v>#N/A</v>
      </c>
      <c r="L54" s="18">
        <f>AB47</f>
        <v>0.38888888888888884</v>
      </c>
    </row>
    <row r="55" spans="1:29" ht="24" customHeight="1" x14ac:dyDescent="0.25">
      <c r="A55" s="1" t="s">
        <v>32</v>
      </c>
      <c r="I55" s="38">
        <f>IFERROR(AVERAGEIF(I48:N48,"&gt;-1"),NA())</f>
        <v>0.1111111111111111</v>
      </c>
      <c r="J55" s="38" t="e">
        <f t="shared" ref="J55:J58" si="11">IFERROR(AVERAGEIF(O48:T48,"&gt;-1"),NA())</f>
        <v>#N/A</v>
      </c>
      <c r="K55" s="38" t="e">
        <f t="shared" ref="K55:K58" si="12">IFERROR(AVERAGEIF(U48:AA48,"&gt;-1"),NA())</f>
        <v>#N/A</v>
      </c>
      <c r="L55" s="18">
        <f t="shared" ref="L55:L58" si="13">AB48</f>
        <v>0.1111111111111111</v>
      </c>
    </row>
    <row r="56" spans="1:29" ht="24" customHeight="1" x14ac:dyDescent="0.25">
      <c r="A56" s="1" t="s">
        <v>33</v>
      </c>
      <c r="I56" s="38">
        <f t="shared" ref="I56:I58" si="14">IFERROR(AVERAGEIF(I49:N49,"&gt;-1"),NA())</f>
        <v>0.38888888888888884</v>
      </c>
      <c r="J56" s="38" t="e">
        <f t="shared" si="11"/>
        <v>#N/A</v>
      </c>
      <c r="K56" s="38" t="e">
        <f t="shared" si="12"/>
        <v>#N/A</v>
      </c>
      <c r="L56" s="18">
        <f t="shared" si="13"/>
        <v>0.38888888888888884</v>
      </c>
    </row>
    <row r="57" spans="1:29" ht="24" customHeight="1" x14ac:dyDescent="0.25">
      <c r="A57" s="1" t="s">
        <v>34</v>
      </c>
      <c r="I57" s="38">
        <f t="shared" si="14"/>
        <v>0.1111111111111111</v>
      </c>
      <c r="J57" s="38" t="e">
        <f t="shared" si="11"/>
        <v>#N/A</v>
      </c>
      <c r="K57" s="38" t="e">
        <f t="shared" si="12"/>
        <v>#N/A</v>
      </c>
      <c r="L57" s="18">
        <f t="shared" si="13"/>
        <v>0.1111111111111111</v>
      </c>
    </row>
    <row r="58" spans="1:29" ht="24" customHeight="1" x14ac:dyDescent="0.25">
      <c r="A58" s="1" t="s">
        <v>35</v>
      </c>
      <c r="I58" s="38">
        <f t="shared" si="14"/>
        <v>0</v>
      </c>
      <c r="J58" s="38" t="e">
        <f t="shared" si="11"/>
        <v>#N/A</v>
      </c>
      <c r="K58" s="38" t="e">
        <f t="shared" si="12"/>
        <v>#N/A</v>
      </c>
      <c r="L58" s="18">
        <f t="shared" si="13"/>
        <v>0</v>
      </c>
      <c r="M58" s="18"/>
    </row>
    <row r="59" spans="1:29" ht="24" customHeight="1" x14ac:dyDescent="0.25">
      <c r="I59" s="38"/>
      <c r="J59" s="38"/>
      <c r="K59" s="38"/>
      <c r="L59" s="38"/>
      <c r="M59" s="38"/>
      <c r="N59" s="38"/>
      <c r="O59" s="38"/>
      <c r="P59" s="38"/>
      <c r="Q59" s="38"/>
      <c r="R59" s="38"/>
      <c r="S59" s="38"/>
      <c r="T59" s="38"/>
      <c r="U59" s="38"/>
      <c r="V59" s="38"/>
      <c r="W59" s="38"/>
      <c r="X59" s="38"/>
      <c r="Y59" s="38"/>
      <c r="Z59" s="38"/>
      <c r="AA59" s="38"/>
      <c r="AC59" s="18"/>
    </row>
    <row r="60" spans="1:29" ht="24" customHeight="1" x14ac:dyDescent="0.25">
      <c r="A60" s="37" t="s">
        <v>43</v>
      </c>
      <c r="B60" s="37"/>
      <c r="C60" s="37"/>
      <c r="D60" s="37"/>
      <c r="E60" s="37"/>
      <c r="F60" s="37"/>
      <c r="G60" s="37"/>
      <c r="H60" s="37"/>
      <c r="I60" s="38"/>
      <c r="J60" s="38"/>
      <c r="K60" s="38"/>
      <c r="L60" s="38"/>
      <c r="M60" s="38"/>
      <c r="N60" s="38"/>
      <c r="O60" s="38"/>
      <c r="P60" s="38"/>
      <c r="Q60" s="38"/>
      <c r="R60" s="38"/>
      <c r="S60" s="38"/>
      <c r="T60" s="38"/>
      <c r="U60" s="38"/>
      <c r="V60" s="38"/>
      <c r="W60" s="38"/>
      <c r="X60" s="38"/>
      <c r="Y60" s="38"/>
      <c r="Z60" s="38"/>
      <c r="AA60" s="38"/>
      <c r="AC60" s="18"/>
    </row>
    <row r="61" spans="1:29" ht="24" customHeight="1" x14ac:dyDescent="0.25">
      <c r="A61" s="1" t="s">
        <v>44</v>
      </c>
      <c r="I61" s="38">
        <f>I47+I48</f>
        <v>0.55555555555555558</v>
      </c>
      <c r="J61" s="38">
        <f t="shared" ref="J61:AA61" si="15">J47+J48</f>
        <v>0.44444444444444442</v>
      </c>
      <c r="K61" s="38" t="e">
        <f t="shared" si="15"/>
        <v>#N/A</v>
      </c>
      <c r="L61" s="38" t="e">
        <f t="shared" si="15"/>
        <v>#N/A</v>
      </c>
      <c r="M61" s="38" t="e">
        <f t="shared" si="15"/>
        <v>#N/A</v>
      </c>
      <c r="N61" s="38" t="e">
        <f t="shared" si="15"/>
        <v>#N/A</v>
      </c>
      <c r="O61" s="38" t="e">
        <f t="shared" si="15"/>
        <v>#N/A</v>
      </c>
      <c r="P61" s="38" t="e">
        <f t="shared" si="15"/>
        <v>#N/A</v>
      </c>
      <c r="Q61" s="38" t="e">
        <f t="shared" si="15"/>
        <v>#N/A</v>
      </c>
      <c r="R61" s="38" t="e">
        <f t="shared" si="15"/>
        <v>#N/A</v>
      </c>
      <c r="S61" s="38" t="e">
        <f t="shared" si="15"/>
        <v>#N/A</v>
      </c>
      <c r="T61" s="38" t="e">
        <f t="shared" si="15"/>
        <v>#N/A</v>
      </c>
      <c r="U61" s="38" t="e">
        <f t="shared" si="15"/>
        <v>#N/A</v>
      </c>
      <c r="V61" s="38" t="e">
        <f t="shared" si="15"/>
        <v>#N/A</v>
      </c>
      <c r="W61" s="38" t="e">
        <f t="shared" si="15"/>
        <v>#N/A</v>
      </c>
      <c r="X61" s="38" t="e">
        <f t="shared" si="15"/>
        <v>#N/A</v>
      </c>
      <c r="Y61" s="38" t="e">
        <f t="shared" si="15"/>
        <v>#N/A</v>
      </c>
      <c r="Z61" s="38" t="e">
        <f t="shared" si="15"/>
        <v>#N/A</v>
      </c>
      <c r="AA61" s="38" t="e">
        <f t="shared" si="15"/>
        <v>#N/A</v>
      </c>
      <c r="AB61" s="45">
        <f>IFERROR(AVERAGEIF(I61:AA61,"&gt;-1"),NA())</f>
        <v>0.5</v>
      </c>
      <c r="AC61" s="18"/>
    </row>
    <row r="62" spans="1:29" ht="24" customHeight="1" x14ac:dyDescent="0.25">
      <c r="A62" s="1" t="s">
        <v>45</v>
      </c>
      <c r="I62" s="38">
        <f>I49+I50</f>
        <v>0.44444444444444442</v>
      </c>
      <c r="J62" s="38">
        <f t="shared" ref="J62:AA62" si="16">J49+J50</f>
        <v>0.55555555555555558</v>
      </c>
      <c r="K62" s="38" t="e">
        <f t="shared" si="16"/>
        <v>#N/A</v>
      </c>
      <c r="L62" s="38" t="e">
        <f t="shared" si="16"/>
        <v>#N/A</v>
      </c>
      <c r="M62" s="38" t="e">
        <f t="shared" si="16"/>
        <v>#N/A</v>
      </c>
      <c r="N62" s="38" t="e">
        <f t="shared" si="16"/>
        <v>#N/A</v>
      </c>
      <c r="O62" s="38" t="e">
        <f t="shared" si="16"/>
        <v>#N/A</v>
      </c>
      <c r="P62" s="38" t="e">
        <f t="shared" si="16"/>
        <v>#N/A</v>
      </c>
      <c r="Q62" s="38" t="e">
        <f t="shared" si="16"/>
        <v>#N/A</v>
      </c>
      <c r="R62" s="38" t="e">
        <f t="shared" si="16"/>
        <v>#N/A</v>
      </c>
      <c r="S62" s="38" t="e">
        <f t="shared" si="16"/>
        <v>#N/A</v>
      </c>
      <c r="T62" s="38" t="e">
        <f t="shared" si="16"/>
        <v>#N/A</v>
      </c>
      <c r="U62" s="38" t="e">
        <f t="shared" si="16"/>
        <v>#N/A</v>
      </c>
      <c r="V62" s="38" t="e">
        <f t="shared" si="16"/>
        <v>#N/A</v>
      </c>
      <c r="W62" s="38" t="e">
        <f t="shared" si="16"/>
        <v>#N/A</v>
      </c>
      <c r="X62" s="38" t="e">
        <f t="shared" si="16"/>
        <v>#N/A</v>
      </c>
      <c r="Y62" s="38" t="e">
        <f t="shared" si="16"/>
        <v>#N/A</v>
      </c>
      <c r="Z62" s="38" t="e">
        <f t="shared" si="16"/>
        <v>#N/A</v>
      </c>
      <c r="AA62" s="38" t="e">
        <f t="shared" si="16"/>
        <v>#N/A</v>
      </c>
      <c r="AB62" s="45">
        <f t="shared" ref="AB62:AB63" si="17">IFERROR(AVERAGEIF(I62:AA62,"&gt;-1"),NA())</f>
        <v>0.5</v>
      </c>
      <c r="AC62" s="18"/>
    </row>
    <row r="63" spans="1:29" ht="24" customHeight="1" x14ac:dyDescent="0.25">
      <c r="A63" s="1" t="s">
        <v>46</v>
      </c>
      <c r="I63" s="38">
        <f>I51</f>
        <v>0</v>
      </c>
      <c r="J63" s="38">
        <f t="shared" ref="J63:AA63" si="18">J51</f>
        <v>0</v>
      </c>
      <c r="K63" s="38" t="e">
        <f t="shared" si="18"/>
        <v>#N/A</v>
      </c>
      <c r="L63" s="38" t="e">
        <f t="shared" si="18"/>
        <v>#N/A</v>
      </c>
      <c r="M63" s="38" t="e">
        <f t="shared" si="18"/>
        <v>#N/A</v>
      </c>
      <c r="N63" s="38" t="e">
        <f t="shared" si="18"/>
        <v>#N/A</v>
      </c>
      <c r="O63" s="38" t="e">
        <f t="shared" si="18"/>
        <v>#N/A</v>
      </c>
      <c r="P63" s="38" t="e">
        <f t="shared" si="18"/>
        <v>#N/A</v>
      </c>
      <c r="Q63" s="38" t="e">
        <f t="shared" si="18"/>
        <v>#N/A</v>
      </c>
      <c r="R63" s="38" t="e">
        <f t="shared" si="18"/>
        <v>#N/A</v>
      </c>
      <c r="S63" s="38" t="e">
        <f t="shared" si="18"/>
        <v>#N/A</v>
      </c>
      <c r="T63" s="38" t="e">
        <f t="shared" si="18"/>
        <v>#N/A</v>
      </c>
      <c r="U63" s="38" t="e">
        <f t="shared" si="18"/>
        <v>#N/A</v>
      </c>
      <c r="V63" s="38" t="e">
        <f t="shared" si="18"/>
        <v>#N/A</v>
      </c>
      <c r="W63" s="38" t="e">
        <f t="shared" si="18"/>
        <v>#N/A</v>
      </c>
      <c r="X63" s="38" t="e">
        <f t="shared" si="18"/>
        <v>#N/A</v>
      </c>
      <c r="Y63" s="38" t="e">
        <f t="shared" si="18"/>
        <v>#N/A</v>
      </c>
      <c r="Z63" s="38" t="e">
        <f t="shared" si="18"/>
        <v>#N/A</v>
      </c>
      <c r="AA63" s="38" t="e">
        <f t="shared" si="18"/>
        <v>#N/A</v>
      </c>
      <c r="AB63" s="45">
        <f t="shared" si="17"/>
        <v>0</v>
      </c>
      <c r="AC63" s="18"/>
    </row>
    <row r="64" spans="1:29" ht="24" customHeight="1" x14ac:dyDescent="0.25">
      <c r="I64" s="38"/>
      <c r="J64" s="38"/>
      <c r="K64" s="38"/>
      <c r="L64" s="38"/>
      <c r="M64" s="38"/>
      <c r="N64" s="38"/>
      <c r="O64" s="38"/>
      <c r="P64" s="38"/>
      <c r="Q64" s="38"/>
      <c r="R64" s="38"/>
      <c r="S64" s="38"/>
      <c r="T64" s="38"/>
      <c r="U64" s="38"/>
      <c r="V64" s="38"/>
      <c r="W64" s="38"/>
      <c r="X64" s="38"/>
      <c r="Y64" s="38"/>
      <c r="Z64" s="38"/>
      <c r="AA64" s="38"/>
      <c r="AC64" s="18"/>
    </row>
    <row r="65" spans="1:29" ht="24" customHeight="1" x14ac:dyDescent="0.25">
      <c r="A65" s="37" t="s">
        <v>52</v>
      </c>
      <c r="B65" s="37"/>
      <c r="C65" s="37"/>
      <c r="D65" s="37"/>
      <c r="E65" s="37"/>
      <c r="F65" s="37"/>
      <c r="G65" s="37"/>
      <c r="H65" s="37"/>
      <c r="I65" s="50" t="s">
        <v>58</v>
      </c>
      <c r="J65" s="51" t="s">
        <v>59</v>
      </c>
      <c r="K65" s="51" t="s">
        <v>60</v>
      </c>
      <c r="L65" s="46" t="s">
        <v>55</v>
      </c>
      <c r="M65" s="38"/>
      <c r="N65" s="38"/>
      <c r="O65" s="38"/>
      <c r="P65" s="38"/>
      <c r="Q65" s="38"/>
      <c r="R65" s="38"/>
      <c r="S65" s="38"/>
      <c r="T65" s="38"/>
      <c r="U65" s="38"/>
      <c r="V65" s="38"/>
      <c r="W65" s="38"/>
      <c r="X65" s="38"/>
      <c r="Y65" s="38"/>
      <c r="Z65" s="38"/>
      <c r="AA65" s="38"/>
      <c r="AC65" s="18"/>
    </row>
    <row r="66" spans="1:29" ht="24" customHeight="1" x14ac:dyDescent="0.25">
      <c r="A66" s="1" t="s">
        <v>44</v>
      </c>
      <c r="I66" s="38">
        <f>IFERROR(AVERAGEIF(I61:N61,"&gt;-1"),NA())</f>
        <v>0.5</v>
      </c>
      <c r="J66" s="38" t="e">
        <f>IFERROR(AVERAGEIF(O61:T61,"&gt;-1"),NA())</f>
        <v>#N/A</v>
      </c>
      <c r="K66" s="38" t="e">
        <f>IFERROR(AVERAGEIF(U61:AA61,"&gt;-1"),NA())</f>
        <v>#N/A</v>
      </c>
      <c r="L66" s="38">
        <f>AB61</f>
        <v>0.5</v>
      </c>
      <c r="M66" s="38"/>
      <c r="N66" s="38"/>
      <c r="O66" s="38"/>
      <c r="P66" s="38"/>
      <c r="Q66" s="38"/>
      <c r="R66" s="38"/>
      <c r="S66" s="38"/>
      <c r="T66" s="38"/>
      <c r="U66" s="38"/>
      <c r="V66" s="38"/>
      <c r="W66" s="38"/>
      <c r="X66" s="38"/>
      <c r="Y66" s="38"/>
      <c r="Z66" s="38"/>
      <c r="AA66" s="38"/>
      <c r="AC66" s="18"/>
    </row>
    <row r="67" spans="1:29" ht="24" customHeight="1" x14ac:dyDescent="0.25">
      <c r="A67" s="1" t="s">
        <v>45</v>
      </c>
      <c r="I67" s="38">
        <f t="shared" ref="I67:I68" si="19">IFERROR(AVERAGEIF(I62:N62,"&gt;-1"),NA())</f>
        <v>0.5</v>
      </c>
      <c r="J67" s="38" t="e">
        <f t="shared" ref="J67:J68" si="20">IFERROR(AVERAGEIF(O62:T62,"&gt;-1"),NA())</f>
        <v>#N/A</v>
      </c>
      <c r="K67" s="38" t="e">
        <f t="shared" ref="K67:K68" si="21">IFERROR(AVERAGEIF(U62:AA62,"&gt;-1"),NA())</f>
        <v>#N/A</v>
      </c>
      <c r="L67" s="38">
        <f t="shared" ref="L67:L68" si="22">AB62</f>
        <v>0.5</v>
      </c>
      <c r="M67" s="38"/>
      <c r="N67" s="38"/>
      <c r="O67" s="38"/>
      <c r="P67" s="38"/>
      <c r="Q67" s="38"/>
      <c r="R67" s="38"/>
      <c r="S67" s="38"/>
      <c r="T67" s="38"/>
      <c r="U67" s="38"/>
      <c r="V67" s="38"/>
      <c r="W67" s="38"/>
      <c r="X67" s="38"/>
      <c r="Y67" s="38"/>
      <c r="Z67" s="38"/>
      <c r="AA67" s="38"/>
      <c r="AC67" s="18"/>
    </row>
    <row r="68" spans="1:29" ht="24" customHeight="1" x14ac:dyDescent="0.25">
      <c r="A68" s="1" t="s">
        <v>46</v>
      </c>
      <c r="I68" s="38">
        <f t="shared" si="19"/>
        <v>0</v>
      </c>
      <c r="J68" s="38" t="e">
        <f t="shared" si="20"/>
        <v>#N/A</v>
      </c>
      <c r="K68" s="38" t="e">
        <f t="shared" si="21"/>
        <v>#N/A</v>
      </c>
      <c r="L68" s="38">
        <f t="shared" si="22"/>
        <v>0</v>
      </c>
      <c r="M68" s="38"/>
      <c r="N68" s="38"/>
      <c r="O68" s="38"/>
      <c r="P68" s="38"/>
      <c r="Q68" s="38"/>
      <c r="R68" s="38"/>
      <c r="S68" s="38"/>
      <c r="T68" s="38"/>
      <c r="U68" s="38"/>
      <c r="V68" s="38"/>
      <c r="W68" s="38"/>
      <c r="X68" s="38"/>
      <c r="Y68" s="38"/>
      <c r="Z68" s="38"/>
      <c r="AA68" s="38"/>
      <c r="AC68" s="18"/>
    </row>
    <row r="69" spans="1:29" ht="24" customHeight="1" x14ac:dyDescent="0.25">
      <c r="I69" s="38"/>
      <c r="J69" s="38"/>
      <c r="K69" s="38"/>
      <c r="L69" s="38"/>
      <c r="M69" s="38"/>
      <c r="N69" s="38"/>
      <c r="O69" s="38"/>
      <c r="P69" s="38"/>
      <c r="Q69" s="38"/>
      <c r="R69" s="38"/>
      <c r="S69" s="38"/>
      <c r="T69" s="38"/>
      <c r="U69" s="38"/>
      <c r="V69" s="38"/>
      <c r="W69" s="38"/>
      <c r="X69" s="38"/>
      <c r="Y69" s="38"/>
      <c r="Z69" s="38"/>
      <c r="AA69" s="38"/>
      <c r="AC69" s="18"/>
    </row>
    <row r="70" spans="1:29" ht="24" customHeight="1" x14ac:dyDescent="0.25">
      <c r="A70" s="37" t="s">
        <v>53</v>
      </c>
      <c r="B70" s="37"/>
      <c r="C70" s="37"/>
      <c r="D70" s="37"/>
      <c r="E70" s="37"/>
      <c r="F70" s="37"/>
      <c r="G70" s="37"/>
      <c r="H70" s="37"/>
      <c r="I70" s="50" t="s">
        <v>58</v>
      </c>
      <c r="J70" s="51" t="s">
        <v>59</v>
      </c>
      <c r="K70" s="51" t="s">
        <v>60</v>
      </c>
      <c r="L70" s="46" t="s">
        <v>56</v>
      </c>
      <c r="M70" s="38"/>
      <c r="N70" s="38"/>
      <c r="O70" s="38"/>
      <c r="P70" s="38"/>
      <c r="Q70" s="38"/>
      <c r="R70" s="38"/>
      <c r="S70" s="38"/>
      <c r="T70" s="38"/>
      <c r="U70" s="38"/>
      <c r="V70" s="38"/>
      <c r="W70" s="38"/>
      <c r="X70" s="38"/>
      <c r="Y70" s="38"/>
      <c r="Z70" s="38"/>
      <c r="AA70" s="38"/>
      <c r="AC70" s="18"/>
    </row>
    <row r="71" spans="1:29" ht="24" customHeight="1" x14ac:dyDescent="0.25">
      <c r="A71" s="1" t="s">
        <v>44</v>
      </c>
      <c r="I71" s="38"/>
      <c r="J71" s="18" t="e">
        <f>IFERROR((J66-I66)/I66,NA())</f>
        <v>#N/A</v>
      </c>
      <c r="K71" s="18" t="e">
        <f>IFERROR((K66-J66)/J66,NA())</f>
        <v>#N/A</v>
      </c>
      <c r="L71" s="18" t="e">
        <f>IFERROR((K66-I66)/I66,NA())</f>
        <v>#N/A</v>
      </c>
    </row>
    <row r="72" spans="1:29" ht="24" customHeight="1" x14ac:dyDescent="0.25">
      <c r="A72" s="1" t="s">
        <v>45</v>
      </c>
      <c r="I72" s="38"/>
      <c r="J72" s="18" t="e">
        <f t="shared" ref="J72:K73" si="23">IFERROR((J67-I67)/I67,NA())</f>
        <v>#N/A</v>
      </c>
      <c r="K72" s="18" t="e">
        <f t="shared" si="23"/>
        <v>#N/A</v>
      </c>
      <c r="L72" s="18" t="e">
        <f>IFERROR((K67-I67)/I67,NA())</f>
        <v>#N/A</v>
      </c>
    </row>
    <row r="73" spans="1:29" ht="24" customHeight="1" x14ac:dyDescent="0.25">
      <c r="A73" s="1" t="s">
        <v>46</v>
      </c>
      <c r="I73" s="38"/>
      <c r="J73" s="18" t="e">
        <f t="shared" si="23"/>
        <v>#N/A</v>
      </c>
      <c r="K73" s="18" t="e">
        <f t="shared" si="23"/>
        <v>#N/A</v>
      </c>
      <c r="L73" s="18" t="e">
        <f>IFERROR((K68-I68)/I68,NA())</f>
        <v>#N/A</v>
      </c>
    </row>
    <row r="74" spans="1:29" ht="24" customHeight="1" x14ac:dyDescent="0.25"/>
    <row r="75" spans="1:29" ht="24" customHeight="1" x14ac:dyDescent="0.25">
      <c r="A75" s="37" t="s">
        <v>2</v>
      </c>
      <c r="B75" s="37"/>
      <c r="C75" s="37"/>
      <c r="D75" s="37"/>
      <c r="E75" s="37"/>
      <c r="F75" s="37"/>
      <c r="G75" s="37"/>
      <c r="H75" s="37"/>
      <c r="I75" s="50" t="s">
        <v>58</v>
      </c>
      <c r="J75" s="51" t="s">
        <v>59</v>
      </c>
      <c r="K75" s="51" t="s">
        <v>60</v>
      </c>
    </row>
    <row r="76" spans="1:29" ht="24" customHeight="1" x14ac:dyDescent="0.25">
      <c r="A76" s="1" t="s">
        <v>4</v>
      </c>
      <c r="I76" s="38" t="e">
        <f>IFERROR('Sprint Summary Q2'!G23,NA())</f>
        <v>#N/A</v>
      </c>
      <c r="J76" s="38" t="e">
        <f>IFERROR('Sprint Summary Q3'!I23,NA())</f>
        <v>#N/A</v>
      </c>
      <c r="K76" s="38" t="e">
        <f>IFERROR('Sprint Summary Q4'!H23,NA())</f>
        <v>#N/A</v>
      </c>
    </row>
    <row r="77" spans="1:29" ht="24" customHeight="1" x14ac:dyDescent="0.25">
      <c r="I77" s="38"/>
      <c r="J77" s="18"/>
      <c r="K77" s="1"/>
    </row>
    <row r="78" spans="1:29" ht="24" customHeight="1" x14ac:dyDescent="0.25">
      <c r="I78" s="38"/>
      <c r="J78" s="18"/>
      <c r="K78" s="1"/>
      <c r="L78" s="1"/>
    </row>
    <row r="79" spans="1:29" ht="24" customHeight="1" x14ac:dyDescent="0.25">
      <c r="A79" s="37" t="s">
        <v>62</v>
      </c>
      <c r="B79" s="37"/>
      <c r="C79" s="37"/>
      <c r="D79" s="37"/>
      <c r="E79" s="37"/>
      <c r="F79" s="37"/>
      <c r="G79" s="37"/>
      <c r="H79" s="37"/>
      <c r="I79" s="50" t="s">
        <v>63</v>
      </c>
      <c r="J79" s="51" t="s">
        <v>64</v>
      </c>
      <c r="K79" s="51" t="s">
        <v>65</v>
      </c>
      <c r="L79" s="24"/>
    </row>
    <row r="80" spans="1:29" ht="24" customHeight="1" x14ac:dyDescent="0.25">
      <c r="A80" s="1" t="s">
        <v>127</v>
      </c>
      <c r="I80" s="5">
        <f>SUM(I3:N3)+SUM(I6:N6)</f>
        <v>18</v>
      </c>
      <c r="J80" s="5">
        <f>SUM(I3:T3)+SUM(I6:T6)</f>
        <v>18</v>
      </c>
      <c r="K80" s="5">
        <f>SUM(I3:AA3)+SUM(I6:AA6)</f>
        <v>18</v>
      </c>
      <c r="L80" s="24"/>
    </row>
    <row r="81" spans="1:11" ht="24" customHeight="1" x14ac:dyDescent="0.25">
      <c r="A81" s="1" t="s">
        <v>128</v>
      </c>
      <c r="I81" s="5">
        <f>SUM(I16:N18)</f>
        <v>9</v>
      </c>
      <c r="J81" s="6">
        <f>SUM(I16:T18)</f>
        <v>9</v>
      </c>
      <c r="K81" s="6">
        <f>SUM(I16:AA18)</f>
        <v>9</v>
      </c>
    </row>
    <row r="82" spans="1:11" ht="24" customHeight="1" x14ac:dyDescent="0.25">
      <c r="A82" s="1" t="s">
        <v>129</v>
      </c>
      <c r="I82" s="5">
        <f>SUM(I21:N21)</f>
        <v>0</v>
      </c>
      <c r="J82" s="6">
        <f>SUM(I21:T21)</f>
        <v>0</v>
      </c>
      <c r="K82" s="6">
        <f>SUM(I21:AA21)</f>
        <v>0</v>
      </c>
    </row>
    <row r="83" spans="1:11" ht="24" customHeight="1" x14ac:dyDescent="0.25"/>
    <row r="84" spans="1:11" ht="24" customHeight="1" x14ac:dyDescent="0.25"/>
    <row r="85" spans="1:11" ht="24" customHeight="1" x14ac:dyDescent="0.25"/>
    <row r="86" spans="1:11" ht="24" customHeight="1" x14ac:dyDescent="0.25"/>
    <row r="87" spans="1:11" ht="24" customHeight="1" x14ac:dyDescent="0.25"/>
    <row r="88" spans="1:11" ht="24" customHeight="1" x14ac:dyDescent="0.25"/>
    <row r="89" spans="1:11" ht="24" customHeight="1" x14ac:dyDescent="0.25"/>
    <row r="90" spans="1:11" ht="24" customHeight="1" x14ac:dyDescent="0.25"/>
    <row r="91" spans="1:11" ht="24" customHeight="1" x14ac:dyDescent="0.25"/>
    <row r="92" spans="1:11" ht="24" customHeight="1" x14ac:dyDescent="0.25"/>
    <row r="93" spans="1:11" ht="24" customHeight="1" x14ac:dyDescent="0.25"/>
    <row r="94" spans="1:11" ht="24" customHeight="1" x14ac:dyDescent="0.25"/>
    <row r="95" spans="1:11" ht="24" customHeight="1" x14ac:dyDescent="0.25"/>
    <row r="96" spans="1:11" ht="24" customHeight="1" x14ac:dyDescent="0.25"/>
    <row r="97" ht="24" customHeight="1" x14ac:dyDescent="0.25"/>
    <row r="98" ht="24" customHeight="1" x14ac:dyDescent="0.25"/>
    <row r="99" ht="24" customHeight="1" x14ac:dyDescent="0.25"/>
    <row r="100" ht="24" customHeight="1" x14ac:dyDescent="0.25"/>
    <row r="101" ht="24" customHeight="1" x14ac:dyDescent="0.25"/>
    <row r="102" ht="24" customHeight="1" x14ac:dyDescent="0.25"/>
    <row r="103" ht="24" customHeight="1" x14ac:dyDescent="0.25"/>
    <row r="104" ht="24" customHeight="1" x14ac:dyDescent="0.25"/>
    <row r="105" ht="24" customHeight="1" x14ac:dyDescent="0.25"/>
    <row r="106" ht="24" customHeight="1" x14ac:dyDescent="0.25"/>
    <row r="107" ht="24" customHeight="1" x14ac:dyDescent="0.25"/>
    <row r="108" ht="24" customHeight="1" x14ac:dyDescent="0.25"/>
    <row r="109" ht="24" customHeight="1" x14ac:dyDescent="0.25"/>
    <row r="110" ht="24" customHeight="1" x14ac:dyDescent="0.25"/>
    <row r="111" ht="24" customHeight="1" x14ac:dyDescent="0.25"/>
    <row r="112" ht="24" customHeight="1" x14ac:dyDescent="0.25"/>
    <row r="113" ht="24" customHeight="1" x14ac:dyDescent="0.25"/>
    <row r="114" ht="24" customHeight="1" x14ac:dyDescent="0.25"/>
    <row r="115" ht="24" customHeight="1" x14ac:dyDescent="0.25"/>
    <row r="116" ht="24" customHeight="1" x14ac:dyDescent="0.25"/>
    <row r="117" ht="24" customHeight="1" x14ac:dyDescent="0.25"/>
    <row r="118" ht="24" customHeight="1" x14ac:dyDescent="0.25"/>
    <row r="119" ht="24" customHeight="1" x14ac:dyDescent="0.25"/>
    <row r="120" ht="24" customHeight="1" x14ac:dyDescent="0.25"/>
    <row r="121" ht="24" customHeight="1" x14ac:dyDescent="0.25"/>
    <row r="122" ht="24" customHeight="1" x14ac:dyDescent="0.25"/>
    <row r="123" ht="24" customHeight="1" x14ac:dyDescent="0.25"/>
    <row r="124" ht="24" customHeight="1" x14ac:dyDescent="0.25"/>
    <row r="125" ht="24" customHeight="1" x14ac:dyDescent="0.25"/>
    <row r="126" ht="24" customHeight="1" x14ac:dyDescent="0.25"/>
    <row r="127" ht="24" customHeight="1" x14ac:dyDescent="0.25"/>
    <row r="128" ht="24" customHeight="1" x14ac:dyDescent="0.25"/>
    <row r="129" ht="24" customHeight="1" x14ac:dyDescent="0.25"/>
    <row r="130" ht="24" customHeight="1" x14ac:dyDescent="0.25"/>
    <row r="131" ht="24" customHeight="1" x14ac:dyDescent="0.25"/>
    <row r="132" ht="24" customHeight="1" x14ac:dyDescent="0.25"/>
    <row r="133" ht="24" customHeight="1" x14ac:dyDescent="0.25"/>
    <row r="134" ht="24" customHeight="1" x14ac:dyDescent="0.25"/>
    <row r="135" ht="24" customHeight="1" x14ac:dyDescent="0.25"/>
    <row r="136" ht="24" customHeight="1" x14ac:dyDescent="0.25"/>
    <row r="137" ht="24" customHeight="1" x14ac:dyDescent="0.25"/>
    <row r="138" ht="24" customHeight="1" x14ac:dyDescent="0.25"/>
    <row r="139" ht="24" customHeight="1" x14ac:dyDescent="0.25"/>
    <row r="140" ht="24" customHeight="1" x14ac:dyDescent="0.25"/>
    <row r="141" ht="24" customHeight="1" x14ac:dyDescent="0.25"/>
    <row r="142" ht="24" customHeight="1" x14ac:dyDescent="0.25"/>
    <row r="143" ht="24" customHeight="1" x14ac:dyDescent="0.25"/>
    <row r="144" ht="24" customHeight="1" x14ac:dyDescent="0.25"/>
    <row r="145" ht="24" customHeight="1" x14ac:dyDescent="0.25"/>
    <row r="146" ht="24" customHeight="1" x14ac:dyDescent="0.25"/>
    <row r="147" ht="24" customHeight="1" x14ac:dyDescent="0.25"/>
    <row r="148" ht="24" customHeight="1" x14ac:dyDescent="0.25"/>
    <row r="149" ht="24" customHeight="1" x14ac:dyDescent="0.25"/>
    <row r="150" ht="24" customHeight="1" x14ac:dyDescent="0.25"/>
    <row r="151" ht="24" customHeight="1" x14ac:dyDescent="0.25"/>
    <row r="152" ht="24" customHeight="1" x14ac:dyDescent="0.25"/>
    <row r="153" ht="24" customHeight="1" x14ac:dyDescent="0.25"/>
    <row r="154" ht="24" customHeight="1" x14ac:dyDescent="0.25"/>
    <row r="155" ht="24" customHeight="1" x14ac:dyDescent="0.25"/>
    <row r="156" ht="24" customHeight="1" x14ac:dyDescent="0.25"/>
    <row r="157" ht="24" customHeight="1" x14ac:dyDescent="0.25"/>
    <row r="158" ht="24" customHeight="1" x14ac:dyDescent="0.25"/>
    <row r="159" ht="24" customHeight="1" x14ac:dyDescent="0.25"/>
    <row r="160" ht="24" customHeight="1" x14ac:dyDescent="0.25"/>
    <row r="161" ht="24" customHeight="1" x14ac:dyDescent="0.25"/>
    <row r="162" ht="24" customHeight="1" x14ac:dyDescent="0.25"/>
    <row r="163" ht="24" customHeight="1" x14ac:dyDescent="0.25"/>
    <row r="164" ht="24" customHeight="1" x14ac:dyDescent="0.25"/>
    <row r="165" ht="24" customHeight="1" x14ac:dyDescent="0.25"/>
    <row r="166" ht="24" customHeight="1" x14ac:dyDescent="0.25"/>
    <row r="167" ht="24" customHeight="1" x14ac:dyDescent="0.25"/>
    <row r="168" ht="24" customHeight="1" x14ac:dyDescent="0.25"/>
    <row r="169" ht="24" customHeight="1" x14ac:dyDescent="0.25"/>
    <row r="170" ht="24" customHeight="1" x14ac:dyDescent="0.25"/>
    <row r="171" ht="24" customHeight="1" x14ac:dyDescent="0.25"/>
  </sheetData>
  <mergeCells count="7">
    <mergeCell ref="A2:AC2"/>
    <mergeCell ref="A7:AC7"/>
    <mergeCell ref="A13:AC13"/>
    <mergeCell ref="A20:AC20"/>
    <mergeCell ref="A24:AC24"/>
    <mergeCell ref="AC14:AC15"/>
    <mergeCell ref="AC16:AC17"/>
  </mergeCells>
  <conditionalFormatting sqref="I23:AA23 I8:AA12 I19:AA19 I5:AA5">
    <cfRule type="containsErrors" dxfId="57" priority="5">
      <formula>ISERROR(I5)</formula>
    </cfRule>
  </conditionalFormatting>
  <conditionalFormatting sqref="I19:AC19">
    <cfRule type="containsErrors" dxfId="56" priority="3">
      <formula>ISERROR(I19)</formula>
    </cfRule>
  </conditionalFormatting>
  <conditionalFormatting sqref="I25:AA25">
    <cfRule type="containsErrors" dxfId="55" priority="2">
      <formula>ISERROR(I25)</formula>
    </cfRule>
  </conditionalFormatting>
  <conditionalFormatting sqref="A25:H25">
    <cfRule type="containsErrors" dxfId="54" priority="1">
      <formula>ISERROR(A25)</formula>
    </cfRule>
  </conditionalFormatting>
  <pageMargins left="0.6" right="0.6" top="0.75" bottom="0.75" header="0.3" footer="0.3"/>
  <pageSetup orientation="landscape" r:id="rId1"/>
  <ignoredErrors>
    <ignoredError sqref="L49:AA49" formula="1"/>
    <ignoredError sqref="X19:AA19" evalError="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1:F109"/>
  <sheetViews>
    <sheetView showGridLines="0" zoomScaleNormal="100" workbookViewId="0">
      <pane ySplit="1" topLeftCell="A13" activePane="bottomLeft" state="frozen"/>
      <selection pane="bottomLeft" activeCell="B19" sqref="B19"/>
    </sheetView>
  </sheetViews>
  <sheetFormatPr defaultRowHeight="15.75" x14ac:dyDescent="0.25"/>
  <cols>
    <col min="1" max="1" width="62.140625" style="1" customWidth="1"/>
    <col min="2" max="2" width="17.140625" style="1" customWidth="1"/>
    <col min="3" max="6" width="13" style="1" customWidth="1"/>
    <col min="7" max="16384" width="9.140625" style="1"/>
  </cols>
  <sheetData>
    <row r="1" spans="1:6" s="9" customFormat="1" ht="31.5" customHeight="1" x14ac:dyDescent="0.25">
      <c r="A1" s="8" t="s">
        <v>1</v>
      </c>
      <c r="B1" s="41" t="s">
        <v>132</v>
      </c>
      <c r="C1" s="41" t="s">
        <v>23</v>
      </c>
      <c r="D1" s="41" t="s">
        <v>22</v>
      </c>
      <c r="E1" s="41" t="s">
        <v>24</v>
      </c>
      <c r="F1" s="15" t="s">
        <v>25</v>
      </c>
    </row>
    <row r="2" spans="1:6" ht="24" customHeight="1" x14ac:dyDescent="0.35">
      <c r="A2" s="72" t="s">
        <v>5</v>
      </c>
      <c r="B2" s="73"/>
      <c r="C2" s="73"/>
      <c r="D2" s="73"/>
      <c r="E2" s="73"/>
      <c r="F2" s="73"/>
    </row>
    <row r="3" spans="1:6" ht="24" customHeight="1" x14ac:dyDescent="0.25">
      <c r="A3" s="3" t="s">
        <v>29</v>
      </c>
      <c r="B3" s="4">
        <f>IFERROR('Sprint Summary Q1'!I3,0)</f>
        <v>40</v>
      </c>
      <c r="C3" s="4">
        <f>IFERROR('Sprint Summary Q2'!H3,0)</f>
        <v>15</v>
      </c>
      <c r="D3" s="4" t="str">
        <f>IFERROR('Sprint Summary Q3'!I3,0)</f>
        <v/>
      </c>
      <c r="E3" s="4" t="str">
        <f>IFERROR('Sprint Summary Q4'!H3,0)</f>
        <v/>
      </c>
      <c r="F3" s="19">
        <f>SUM(B3:E3)</f>
        <v>55</v>
      </c>
    </row>
    <row r="4" spans="1:6" ht="24" customHeight="1" x14ac:dyDescent="0.25">
      <c r="A4" s="2" t="s">
        <v>30</v>
      </c>
      <c r="B4" s="4">
        <f>IFERROR('Sprint Summary Q1'!I4,0)</f>
        <v>2</v>
      </c>
      <c r="C4" s="4">
        <f>IFERROR('Sprint Summary Q2'!H4,0)</f>
        <v>2</v>
      </c>
      <c r="D4" s="4" t="str">
        <f>IFERROR('Sprint Summary Q3'!I4,0)</f>
        <v/>
      </c>
      <c r="E4" s="4" t="str">
        <f>IFERROR('Sprint Summary Q4'!H4,0)</f>
        <v/>
      </c>
      <c r="F4" s="19">
        <f>SUM(B4:E4)</f>
        <v>4</v>
      </c>
    </row>
    <row r="5" spans="1:6" ht="24" customHeight="1" x14ac:dyDescent="0.25">
      <c r="A5" s="2" t="s">
        <v>3</v>
      </c>
      <c r="B5" s="7">
        <f>IFERROR('Sprint Summary Q1'!I5,0)</f>
        <v>0.94814814814814818</v>
      </c>
      <c r="C5" s="4">
        <f>IFERROR('Sprint Summary Q2'!H5,"")</f>
        <v>0.90909090909090917</v>
      </c>
      <c r="D5" s="4" t="str">
        <f>IFERROR('Sprint Summary Q3'!I5,"")</f>
        <v/>
      </c>
      <c r="E5" s="4" t="str">
        <f>IFERROR('Sprint Summary Q4'!H5,"")</f>
        <v/>
      </c>
      <c r="F5" s="21">
        <f>IFERROR(AVERAGEIF(B5:E5,"&gt;-1"),NA())</f>
        <v>0.92861952861952868</v>
      </c>
    </row>
    <row r="6" spans="1:6" ht="24" customHeight="1" x14ac:dyDescent="0.25">
      <c r="A6" s="2" t="s">
        <v>73</v>
      </c>
      <c r="B6" s="4">
        <f>IFERROR('Sprint Summary Q1'!I6,0)</f>
        <v>5</v>
      </c>
      <c r="C6" s="4">
        <f>IFERROR('Sprint Summary Q2'!H6,0)</f>
        <v>3</v>
      </c>
      <c r="D6" s="4" t="str">
        <f>IFERROR('Sprint Summary Q3'!I6,0)</f>
        <v/>
      </c>
      <c r="E6" s="4" t="str">
        <f>IFERROR('Sprint Summary Q4'!H6,0)</f>
        <v/>
      </c>
      <c r="F6" s="19">
        <f>SUM(B6:E6)</f>
        <v>8</v>
      </c>
    </row>
    <row r="7" spans="1:6" ht="24" customHeight="1" x14ac:dyDescent="0.35">
      <c r="A7" s="72" t="s">
        <v>7</v>
      </c>
      <c r="B7" s="73"/>
      <c r="C7" s="73"/>
      <c r="D7" s="73"/>
      <c r="E7" s="73"/>
      <c r="F7" s="73"/>
    </row>
    <row r="8" spans="1:6" ht="24" customHeight="1" x14ac:dyDescent="0.25">
      <c r="A8" s="14" t="s">
        <v>9</v>
      </c>
      <c r="B8" s="49">
        <f>IFERROR('Sprint Summary Q1'!I8,0)</f>
        <v>2</v>
      </c>
      <c r="C8" s="49">
        <f>IFERROR('Sprint Summary Q2'!H8,0)</f>
        <v>0</v>
      </c>
      <c r="D8" s="49">
        <f>IFERROR('Sprint Summary Q3'!I8,0)</f>
        <v>0</v>
      </c>
      <c r="E8" s="49">
        <f>IFERROR('Sprint Summary Q4'!H8,0)</f>
        <v>0</v>
      </c>
      <c r="F8" s="19">
        <f>SUM(B8:E8)</f>
        <v>2</v>
      </c>
    </row>
    <row r="9" spans="1:6" ht="24" customHeight="1" x14ac:dyDescent="0.25">
      <c r="A9" s="14" t="s">
        <v>13</v>
      </c>
      <c r="B9" s="49">
        <f>IFERROR('Sprint Summary Q1'!I9,0)</f>
        <v>0</v>
      </c>
      <c r="C9" s="49">
        <f>IFERROR('Sprint Summary Q2'!H9,0)</f>
        <v>0</v>
      </c>
      <c r="D9" s="49">
        <f>IFERROR('Sprint Summary Q3'!I9,0)</f>
        <v>0</v>
      </c>
      <c r="E9" s="49">
        <f>IFERROR('Sprint Summary Q4'!H9,0)</f>
        <v>0</v>
      </c>
      <c r="F9" s="19">
        <f t="shared" ref="F9:F12" si="0">SUM(B9:E9)</f>
        <v>0</v>
      </c>
    </row>
    <row r="10" spans="1:6" ht="24" customHeight="1" x14ac:dyDescent="0.25">
      <c r="A10" s="14" t="s">
        <v>10</v>
      </c>
      <c r="B10" s="49">
        <f>IFERROR('Sprint Summary Q1'!I10,0)</f>
        <v>0</v>
      </c>
      <c r="C10" s="49">
        <f>IFERROR('Sprint Summary Q2'!H10,0)</f>
        <v>1</v>
      </c>
      <c r="D10" s="49">
        <f>IFERROR('Sprint Summary Q3'!I10,0)</f>
        <v>0</v>
      </c>
      <c r="E10" s="49">
        <f>IFERROR('Sprint Summary Q4'!H10,0)</f>
        <v>0</v>
      </c>
      <c r="F10" s="19">
        <f t="shared" si="0"/>
        <v>1</v>
      </c>
    </row>
    <row r="11" spans="1:6" ht="24" customHeight="1" x14ac:dyDescent="0.25">
      <c r="A11" s="14" t="s">
        <v>17</v>
      </c>
      <c r="B11" s="49">
        <f>IFERROR('Sprint Summary Q1'!I11,0)</f>
        <v>0</v>
      </c>
      <c r="C11" s="49">
        <f>IFERROR('Sprint Summary Q2'!H11,0)</f>
        <v>0</v>
      </c>
      <c r="D11" s="49">
        <f>IFERROR('Sprint Summary Q3'!I11,0)</f>
        <v>0</v>
      </c>
      <c r="E11" s="49">
        <f>IFERROR('Sprint Summary Q4'!H11,0)</f>
        <v>0</v>
      </c>
      <c r="F11" s="19">
        <f t="shared" si="0"/>
        <v>0</v>
      </c>
    </row>
    <row r="12" spans="1:6" ht="24" customHeight="1" x14ac:dyDescent="0.25">
      <c r="A12" s="14" t="s">
        <v>16</v>
      </c>
      <c r="B12" s="49">
        <f>IFERROR('Sprint Summary Q1'!I12,0)</f>
        <v>0</v>
      </c>
      <c r="C12" s="49">
        <f>IFERROR('Sprint Summary Q2'!H12,0)</f>
        <v>0</v>
      </c>
      <c r="D12" s="49">
        <f>IFERROR('Sprint Summary Q3'!I12,0)</f>
        <v>0</v>
      </c>
      <c r="E12" s="49">
        <f>IFERROR('Sprint Summary Q4'!H12,0)</f>
        <v>0</v>
      </c>
      <c r="F12" s="19">
        <f t="shared" si="0"/>
        <v>0</v>
      </c>
    </row>
    <row r="13" spans="1:6" ht="24" customHeight="1" x14ac:dyDescent="0.35">
      <c r="A13" s="72" t="s">
        <v>6</v>
      </c>
      <c r="B13" s="73"/>
      <c r="C13" s="73"/>
      <c r="D13" s="73"/>
      <c r="E13" s="73"/>
      <c r="F13" s="73"/>
    </row>
    <row r="14" spans="1:6" ht="24" customHeight="1" x14ac:dyDescent="0.25">
      <c r="A14" s="2" t="s">
        <v>95</v>
      </c>
      <c r="B14" s="4">
        <f>IFERROR('Sprint Summary Q1'!I14,0)</f>
        <v>12</v>
      </c>
      <c r="C14" s="4">
        <f>IFERROR('Sprint Summary Q2'!H14,0)</f>
        <v>7</v>
      </c>
      <c r="D14" s="4" t="str">
        <f>IFERROR('Sprint Summary Q3'!I14,0)</f>
        <v/>
      </c>
      <c r="E14" s="4" t="str">
        <f>IFERROR('Sprint Summary Q4'!H14,0)</f>
        <v/>
      </c>
      <c r="F14" s="19">
        <f>SUM(B14:E14)</f>
        <v>19</v>
      </c>
    </row>
    <row r="15" spans="1:6" ht="24" customHeight="1" x14ac:dyDescent="0.25">
      <c r="A15" s="2" t="s">
        <v>96</v>
      </c>
      <c r="B15" s="4">
        <f>IFERROR('Sprint Summary Q1'!I15,0)</f>
        <v>7</v>
      </c>
      <c r="C15" s="4">
        <f>IFERROR('Sprint Summary Q2'!H15,0)</f>
        <v>2</v>
      </c>
      <c r="D15" s="4" t="str">
        <f>IFERROR('Sprint Summary Q3'!I15,0)</f>
        <v/>
      </c>
      <c r="E15" s="4" t="str">
        <f>IFERROR('Sprint Summary Q4'!H15,0)</f>
        <v/>
      </c>
      <c r="F15" s="19">
        <f t="shared" ref="F15:F18" si="1">SUM(B15:E15)</f>
        <v>9</v>
      </c>
    </row>
    <row r="16" spans="1:6" ht="24" customHeight="1" x14ac:dyDescent="0.25">
      <c r="A16" s="2" t="s">
        <v>97</v>
      </c>
      <c r="B16" s="4">
        <f>IFERROR('Sprint Summary Q1'!I16,0)</f>
        <v>21</v>
      </c>
      <c r="C16" s="4">
        <f>IFERROR('Sprint Summary Q2'!H16,0)</f>
        <v>7</v>
      </c>
      <c r="D16" s="4" t="str">
        <f>IFERROR('Sprint Summary Q3'!I16,0)</f>
        <v/>
      </c>
      <c r="E16" s="4" t="str">
        <f>IFERROR('Sprint Summary Q4'!H16,0)</f>
        <v/>
      </c>
      <c r="F16" s="19">
        <f t="shared" si="1"/>
        <v>28</v>
      </c>
    </row>
    <row r="17" spans="1:6" ht="24" customHeight="1" x14ac:dyDescent="0.25">
      <c r="A17" s="2" t="s">
        <v>98</v>
      </c>
      <c r="B17" s="4">
        <f>IFERROR('Sprint Summary Q1'!I17,0)</f>
        <v>2</v>
      </c>
      <c r="C17" s="4">
        <f>IFERROR('Sprint Summary Q2'!H17,0)</f>
        <v>2</v>
      </c>
      <c r="D17" s="4" t="str">
        <f>IFERROR('Sprint Summary Q3'!I17,0)</f>
        <v/>
      </c>
      <c r="E17" s="4" t="str">
        <f>IFERROR('Sprint Summary Q4'!H17,0)</f>
        <v/>
      </c>
      <c r="F17" s="19">
        <f t="shared" si="1"/>
        <v>4</v>
      </c>
    </row>
    <row r="18" spans="1:6" ht="24" customHeight="1" x14ac:dyDescent="0.25">
      <c r="A18" s="2" t="s">
        <v>99</v>
      </c>
      <c r="B18" s="4">
        <f>IFERROR('Sprint Summary Q1'!I18,0)</f>
        <v>3</v>
      </c>
      <c r="C18" s="4">
        <f>IFERROR('Sprint Summary Q2'!H18,0)</f>
        <v>0</v>
      </c>
      <c r="D18" s="4" t="str">
        <f>IFERROR('Sprint Summary Q3'!I18,0)</f>
        <v/>
      </c>
      <c r="E18" s="4" t="str">
        <f>IFERROR('Sprint Summary Q4'!H18,0)</f>
        <v/>
      </c>
      <c r="F18" s="19">
        <f t="shared" si="1"/>
        <v>3</v>
      </c>
    </row>
    <row r="19" spans="1:6" s="35" customFormat="1" ht="24" customHeight="1" x14ac:dyDescent="0.25">
      <c r="A19" s="30" t="s">
        <v>14</v>
      </c>
      <c r="B19" s="31">
        <f>IFERROR('Sprint Summary Q1'!I19,0)</f>
        <v>0.49583333333333335</v>
      </c>
      <c r="C19" s="31">
        <f>IFERROR('Sprint Summary Q2'!H19,"")</f>
        <v>0.5</v>
      </c>
      <c r="D19" s="31" t="str">
        <f>IFERROR('Sprint Summary Q3'!I19,"")</f>
        <v/>
      </c>
      <c r="E19" s="31" t="str">
        <f>IFERROR('Sprint Summary Q4'!H19,"")</f>
        <v/>
      </c>
      <c r="F19" s="33">
        <f>IFERROR(AVERAGEIF(B19:E19,"&gt;-1"),NA())</f>
        <v>0.49791666666666667</v>
      </c>
    </row>
    <row r="20" spans="1:6" ht="24" customHeight="1" x14ac:dyDescent="0.35">
      <c r="A20" s="72" t="s">
        <v>2</v>
      </c>
      <c r="B20" s="73"/>
      <c r="C20" s="73"/>
      <c r="D20" s="73"/>
      <c r="E20" s="73"/>
      <c r="F20" s="73"/>
    </row>
    <row r="21" spans="1:6" ht="24" customHeight="1" x14ac:dyDescent="0.25">
      <c r="A21" s="2" t="s">
        <v>0</v>
      </c>
      <c r="B21" s="4">
        <f>IFERROR('Sprint Summary Q1'!I21,0)</f>
        <v>0</v>
      </c>
      <c r="C21" s="4">
        <f>IFERROR('Sprint Summary Q2'!H21,0)</f>
        <v>0</v>
      </c>
      <c r="D21" s="4" t="str">
        <f>IFERROR('Sprint Summary Q3'!I21,0)</f>
        <v/>
      </c>
      <c r="E21" s="4" t="str">
        <f>IFERROR('Sprint Summary Q4'!H21,0)</f>
        <v/>
      </c>
      <c r="F21" s="19">
        <f>SUM(B21:E21)</f>
        <v>0</v>
      </c>
    </row>
    <row r="22" spans="1:6" ht="24" customHeight="1" x14ac:dyDescent="0.25">
      <c r="A22" s="2" t="s">
        <v>8</v>
      </c>
      <c r="B22" s="4">
        <f>IFERROR('Sprint Summary Q1'!I22,0)</f>
        <v>0</v>
      </c>
      <c r="C22" s="4">
        <f>IFERROR('Sprint Summary Q2'!H22,0)</f>
        <v>0</v>
      </c>
      <c r="D22" s="4" t="str">
        <f>IFERROR('Sprint Summary Q3'!I22,0)</f>
        <v/>
      </c>
      <c r="E22" s="4" t="str">
        <f>IFERROR('Sprint Summary Q4'!H22,0)</f>
        <v/>
      </c>
      <c r="F22" s="19">
        <f>SUM(B22:E22)</f>
        <v>0</v>
      </c>
    </row>
    <row r="23" spans="1:6" ht="24" customHeight="1" x14ac:dyDescent="0.25">
      <c r="A23" s="2" t="s">
        <v>4</v>
      </c>
      <c r="B23" s="7" t="str">
        <f>IFERROR(B21/(B21+B22),"")</f>
        <v/>
      </c>
      <c r="C23" s="7" t="str">
        <f t="shared" ref="C23:E23" si="2">IFERROR(C21/(C21+C22),"")</f>
        <v/>
      </c>
      <c r="D23" s="7" t="str">
        <f t="shared" si="2"/>
        <v/>
      </c>
      <c r="E23" s="7" t="str">
        <f t="shared" si="2"/>
        <v/>
      </c>
      <c r="F23" s="21">
        <f>IFERROR(AVERAGEIF(B23:E23,"&gt;-1"),0)</f>
        <v>0</v>
      </c>
    </row>
    <row r="24" spans="1:6" ht="24" customHeight="1" x14ac:dyDescent="0.35">
      <c r="A24" s="72"/>
      <c r="B24" s="73"/>
      <c r="C24" s="73"/>
      <c r="D24" s="73"/>
      <c r="E24" s="73"/>
      <c r="F24" s="73"/>
    </row>
    <row r="25" spans="1:6" ht="24" customHeight="1" x14ac:dyDescent="0.25"/>
    <row r="26" spans="1:6" ht="24" customHeight="1" x14ac:dyDescent="0.25"/>
    <row r="27" spans="1:6" ht="24" customHeight="1" x14ac:dyDescent="0.25"/>
    <row r="28" spans="1:6" ht="24" customHeight="1" x14ac:dyDescent="0.25"/>
    <row r="29" spans="1:6" ht="24" customHeight="1" x14ac:dyDescent="0.25"/>
    <row r="30" spans="1:6" ht="24" customHeight="1" x14ac:dyDescent="0.25"/>
    <row r="31" spans="1:6" ht="24" customHeight="1" x14ac:dyDescent="0.25"/>
    <row r="32" spans="1:6" ht="24" customHeight="1" x14ac:dyDescent="0.25"/>
    <row r="33" ht="24" customHeight="1" x14ac:dyDescent="0.25"/>
    <row r="34" ht="24" customHeight="1" x14ac:dyDescent="0.25"/>
    <row r="35" ht="24" customHeight="1" x14ac:dyDescent="0.25"/>
    <row r="36" ht="24" customHeight="1" x14ac:dyDescent="0.25"/>
    <row r="37" ht="24" customHeight="1" x14ac:dyDescent="0.25"/>
    <row r="38" ht="24" customHeight="1" x14ac:dyDescent="0.25"/>
    <row r="39" ht="24" customHeight="1" x14ac:dyDescent="0.25"/>
    <row r="40" ht="24" customHeight="1" x14ac:dyDescent="0.25"/>
    <row r="41" ht="24" customHeight="1" x14ac:dyDescent="0.25"/>
    <row r="42" ht="24" customHeight="1" x14ac:dyDescent="0.25"/>
    <row r="43" ht="24" customHeight="1" x14ac:dyDescent="0.25"/>
    <row r="44" ht="24" customHeight="1" x14ac:dyDescent="0.25"/>
    <row r="45" ht="24" customHeight="1" x14ac:dyDescent="0.25"/>
    <row r="46" ht="24" customHeight="1" x14ac:dyDescent="0.25"/>
    <row r="47" ht="24" customHeight="1" x14ac:dyDescent="0.25"/>
    <row r="48" ht="24" customHeight="1" x14ac:dyDescent="0.25"/>
    <row r="49" ht="24" customHeight="1" x14ac:dyDescent="0.25"/>
    <row r="50" ht="24" customHeight="1" x14ac:dyDescent="0.25"/>
    <row r="51" ht="24" customHeight="1" x14ac:dyDescent="0.25"/>
    <row r="52" ht="24" customHeight="1" x14ac:dyDescent="0.25"/>
    <row r="53" ht="24" customHeight="1" x14ac:dyDescent="0.25"/>
    <row r="54" ht="24" customHeight="1" x14ac:dyDescent="0.25"/>
    <row r="55" ht="24" customHeight="1" x14ac:dyDescent="0.25"/>
    <row r="56" ht="24" customHeight="1" x14ac:dyDescent="0.25"/>
    <row r="57" ht="24" customHeight="1" x14ac:dyDescent="0.25"/>
    <row r="58" ht="24" customHeight="1" x14ac:dyDescent="0.25"/>
    <row r="59" ht="24" customHeight="1" x14ac:dyDescent="0.25"/>
    <row r="60" ht="24" customHeight="1" x14ac:dyDescent="0.25"/>
    <row r="61" ht="24" customHeight="1" x14ac:dyDescent="0.25"/>
    <row r="62" ht="24" customHeight="1" x14ac:dyDescent="0.25"/>
    <row r="63" ht="24" customHeight="1" x14ac:dyDescent="0.25"/>
    <row r="64" ht="24" customHeight="1" x14ac:dyDescent="0.25"/>
    <row r="65" ht="24" customHeight="1" x14ac:dyDescent="0.25"/>
    <row r="66" ht="24" customHeight="1" x14ac:dyDescent="0.25"/>
    <row r="67" ht="24" customHeight="1" x14ac:dyDescent="0.25"/>
    <row r="68" ht="24" customHeight="1" x14ac:dyDescent="0.25"/>
    <row r="69" ht="24" customHeight="1" x14ac:dyDescent="0.25"/>
    <row r="70" ht="24" customHeight="1" x14ac:dyDescent="0.25"/>
    <row r="71" ht="24" customHeight="1" x14ac:dyDescent="0.25"/>
    <row r="72" ht="24" customHeight="1" x14ac:dyDescent="0.25"/>
    <row r="73" ht="24" customHeight="1" x14ac:dyDescent="0.25"/>
    <row r="74" ht="24" customHeight="1" x14ac:dyDescent="0.25"/>
    <row r="75" ht="24" customHeight="1" x14ac:dyDescent="0.25"/>
    <row r="76" ht="24" customHeight="1" x14ac:dyDescent="0.25"/>
    <row r="77" ht="24" customHeight="1" x14ac:dyDescent="0.25"/>
    <row r="78" ht="24" customHeight="1" x14ac:dyDescent="0.25"/>
    <row r="79" ht="24" customHeight="1" x14ac:dyDescent="0.25"/>
    <row r="80" ht="24" customHeight="1" x14ac:dyDescent="0.25"/>
    <row r="81" ht="24" customHeight="1" x14ac:dyDescent="0.25"/>
    <row r="82" ht="24" customHeight="1" x14ac:dyDescent="0.25"/>
    <row r="83" ht="24" customHeight="1" x14ac:dyDescent="0.25"/>
    <row r="84" ht="24" customHeight="1" x14ac:dyDescent="0.25"/>
    <row r="85" ht="24" customHeight="1" x14ac:dyDescent="0.25"/>
    <row r="86" ht="24" customHeight="1" x14ac:dyDescent="0.25"/>
    <row r="87" ht="24" customHeight="1" x14ac:dyDescent="0.25"/>
    <row r="88" ht="24" customHeight="1" x14ac:dyDescent="0.25"/>
    <row r="89" ht="24" customHeight="1" x14ac:dyDescent="0.25"/>
    <row r="90" ht="24" customHeight="1" x14ac:dyDescent="0.25"/>
    <row r="91" ht="24" customHeight="1" x14ac:dyDescent="0.25"/>
    <row r="92" ht="24" customHeight="1" x14ac:dyDescent="0.25"/>
    <row r="93" ht="24" customHeight="1" x14ac:dyDescent="0.25"/>
    <row r="94" ht="24" customHeight="1" x14ac:dyDescent="0.25"/>
    <row r="95" ht="24" customHeight="1" x14ac:dyDescent="0.25"/>
    <row r="96" ht="24" customHeight="1" x14ac:dyDescent="0.25"/>
    <row r="97" ht="24" customHeight="1" x14ac:dyDescent="0.25"/>
    <row r="98" ht="24" customHeight="1" x14ac:dyDescent="0.25"/>
    <row r="99" ht="24" customHeight="1" x14ac:dyDescent="0.25"/>
    <row r="100" ht="24" customHeight="1" x14ac:dyDescent="0.25"/>
    <row r="101" ht="24" customHeight="1" x14ac:dyDescent="0.25"/>
    <row r="102" ht="24" customHeight="1" x14ac:dyDescent="0.25"/>
    <row r="103" ht="24" customHeight="1" x14ac:dyDescent="0.25"/>
    <row r="104" ht="24" customHeight="1" x14ac:dyDescent="0.25"/>
    <row r="105" ht="24" customHeight="1" x14ac:dyDescent="0.25"/>
    <row r="106" ht="24" customHeight="1" x14ac:dyDescent="0.25"/>
    <row r="107" ht="24" customHeight="1" x14ac:dyDescent="0.25"/>
    <row r="108" ht="24" customHeight="1" x14ac:dyDescent="0.25"/>
    <row r="109" ht="24" customHeight="1" x14ac:dyDescent="0.25"/>
  </sheetData>
  <mergeCells count="5">
    <mergeCell ref="A20:F20"/>
    <mergeCell ref="A24:F24"/>
    <mergeCell ref="A2:F2"/>
    <mergeCell ref="A7:F7"/>
    <mergeCell ref="A13:F13"/>
  </mergeCells>
  <conditionalFormatting sqref="F5">
    <cfRule type="containsErrors" dxfId="53" priority="33">
      <formula>ISERROR(F5)</formula>
    </cfRule>
  </conditionalFormatting>
  <conditionalFormatting sqref="F6 F8:F12 F21:F23">
    <cfRule type="cellIs" dxfId="52" priority="31" operator="equal">
      <formula>0</formula>
    </cfRule>
  </conditionalFormatting>
  <conditionalFormatting sqref="F5 F19 F23">
    <cfRule type="containsErrors" dxfId="51" priority="25">
      <formula>ISERROR(F5)</formula>
    </cfRule>
  </conditionalFormatting>
  <conditionalFormatting sqref="F19">
    <cfRule type="containsErrors" dxfId="50" priority="2">
      <formula>ISERROR(F19)</formula>
    </cfRule>
  </conditionalFormatting>
  <pageMargins left="0.6" right="0.6" top="0.75" bottom="0.75" header="0.3" footer="0.3"/>
  <pageSetup scale="9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J125"/>
  <sheetViews>
    <sheetView showGridLines="0" zoomScaleNormal="100" workbookViewId="0">
      <pane ySplit="1" topLeftCell="A2" activePane="bottomLeft" state="frozen"/>
      <selection pane="bottomLeft" activeCell="H8" sqref="H8"/>
    </sheetView>
  </sheetViews>
  <sheetFormatPr defaultRowHeight="15.75" x14ac:dyDescent="0.25"/>
  <cols>
    <col min="1" max="1" width="62.140625" style="1" customWidth="1"/>
    <col min="2" max="2" width="13" style="5" customWidth="1"/>
    <col min="3" max="5" width="13" style="6" customWidth="1"/>
    <col min="6" max="10" width="13" style="1" customWidth="1"/>
    <col min="11" max="16384" width="9.140625" style="1"/>
  </cols>
  <sheetData>
    <row r="1" spans="1:10" s="9" customFormat="1" ht="31.5" customHeight="1" x14ac:dyDescent="0.25">
      <c r="A1" s="8" t="s">
        <v>1</v>
      </c>
      <c r="B1" s="11">
        <v>43833</v>
      </c>
      <c r="C1" s="11">
        <v>43847</v>
      </c>
      <c r="D1" s="11">
        <v>43861</v>
      </c>
      <c r="E1" s="11">
        <v>43875</v>
      </c>
      <c r="F1" s="11">
        <v>43889</v>
      </c>
      <c r="G1" s="11">
        <v>43903</v>
      </c>
      <c r="H1" s="11">
        <v>43917</v>
      </c>
      <c r="I1" s="15" t="s">
        <v>132</v>
      </c>
      <c r="J1" s="36" t="s">
        <v>133</v>
      </c>
    </row>
    <row r="2" spans="1:10" ht="24" customHeight="1" x14ac:dyDescent="0.35">
      <c r="A2" s="72" t="s">
        <v>134</v>
      </c>
      <c r="B2" s="73"/>
      <c r="C2" s="73"/>
      <c r="D2" s="73"/>
      <c r="E2" s="73"/>
      <c r="F2" s="73"/>
      <c r="G2" s="73"/>
      <c r="H2" s="73"/>
      <c r="I2" s="73"/>
      <c r="J2" s="74"/>
    </row>
    <row r="3" spans="1:10" ht="24" customHeight="1" x14ac:dyDescent="0.25">
      <c r="A3" s="3" t="s">
        <v>29</v>
      </c>
      <c r="B3" s="71"/>
      <c r="C3" s="25">
        <v>5</v>
      </c>
      <c r="D3" s="25">
        <v>4</v>
      </c>
      <c r="E3" s="25">
        <v>8</v>
      </c>
      <c r="F3" s="25">
        <v>7</v>
      </c>
      <c r="G3" s="25">
        <v>7</v>
      </c>
      <c r="H3" s="25">
        <v>9</v>
      </c>
      <c r="I3" s="19">
        <f>IF(SUM(C3:H3)&gt;0,SUM(C3:H3),"")</f>
        <v>40</v>
      </c>
      <c r="J3" s="19"/>
    </row>
    <row r="4" spans="1:10" ht="24" customHeight="1" x14ac:dyDescent="0.25">
      <c r="A4" s="2" t="s">
        <v>30</v>
      </c>
      <c r="B4" s="71"/>
      <c r="C4" s="25"/>
      <c r="D4" s="25">
        <v>1</v>
      </c>
      <c r="E4" s="25">
        <v>1</v>
      </c>
      <c r="F4" s="25"/>
      <c r="G4" s="25"/>
      <c r="H4" s="25"/>
      <c r="I4" s="19">
        <f>IF(SUM(C4:H4)&gt;0,SUM(C4:H4),"")</f>
        <v>2</v>
      </c>
      <c r="J4" s="19"/>
    </row>
    <row r="5" spans="1:10" ht="24" customHeight="1" x14ac:dyDescent="0.25">
      <c r="A5" s="2" t="s">
        <v>3</v>
      </c>
      <c r="B5" s="71"/>
      <c r="C5" s="7">
        <f t="shared" ref="C5" si="0">IFERROR(C3/(C3+C4),NA())</f>
        <v>1</v>
      </c>
      <c r="D5" s="7">
        <f>IFERROR(D3/(D3+D4),NA())</f>
        <v>0.8</v>
      </c>
      <c r="E5" s="7">
        <f>IFERROR(E3/(E3+E4),NA())</f>
        <v>0.88888888888888884</v>
      </c>
      <c r="F5" s="7">
        <f t="shared" ref="F5:H5" si="1">IFERROR(F3/(F3+F4),NA())</f>
        <v>1</v>
      </c>
      <c r="G5" s="7">
        <f t="shared" si="1"/>
        <v>1</v>
      </c>
      <c r="H5" s="7">
        <f t="shared" si="1"/>
        <v>1</v>
      </c>
      <c r="I5" s="21">
        <f>IFERROR(AVERAGEIF(C5:H5,"&gt;-1"),NA())</f>
        <v>0.94814814814814818</v>
      </c>
      <c r="J5" s="21">
        <f>IFERROR(COUNTIF(C5:H5,"=1")/(COUNTIF(C5:H5,"&gt;0")+COUNTIF(C5:H5,0)),NA())</f>
        <v>0.66666666666666663</v>
      </c>
    </row>
    <row r="6" spans="1:10" ht="24" customHeight="1" x14ac:dyDescent="0.25">
      <c r="A6" s="2" t="s">
        <v>73</v>
      </c>
      <c r="B6" s="71"/>
      <c r="C6" s="25"/>
      <c r="D6" s="25"/>
      <c r="E6" s="25"/>
      <c r="F6" s="25">
        <v>1</v>
      </c>
      <c r="G6" s="25">
        <v>3</v>
      </c>
      <c r="H6" s="25">
        <v>1</v>
      </c>
      <c r="I6" s="19">
        <f>IF(SUM(C6:H6)&gt;0,SUM(C6:H6),"")</f>
        <v>5</v>
      </c>
      <c r="J6" s="19"/>
    </row>
    <row r="7" spans="1:10" ht="24" customHeight="1" x14ac:dyDescent="0.35">
      <c r="A7" s="72" t="s">
        <v>7</v>
      </c>
      <c r="B7" s="73"/>
      <c r="C7" s="73"/>
      <c r="D7" s="73"/>
      <c r="E7" s="73"/>
      <c r="F7" s="73"/>
      <c r="G7" s="73"/>
      <c r="H7" s="73"/>
      <c r="I7" s="73"/>
      <c r="J7" s="74"/>
    </row>
    <row r="8" spans="1:10" ht="24" customHeight="1" x14ac:dyDescent="0.25">
      <c r="A8" s="14" t="s">
        <v>9</v>
      </c>
      <c r="B8" s="26"/>
      <c r="D8" s="26" t="s">
        <v>138</v>
      </c>
      <c r="E8" s="26" t="s">
        <v>138</v>
      </c>
      <c r="F8" s="26"/>
      <c r="G8" s="26"/>
      <c r="H8" s="26"/>
      <c r="I8" s="20">
        <f>COUNTIF(B8:H8, "X")</f>
        <v>2</v>
      </c>
      <c r="J8" s="20"/>
    </row>
    <row r="9" spans="1:10" ht="24" customHeight="1" x14ac:dyDescent="0.25">
      <c r="A9" s="14" t="s">
        <v>13</v>
      </c>
      <c r="B9" s="26"/>
      <c r="C9" s="26"/>
      <c r="D9" s="26"/>
      <c r="E9" s="26"/>
      <c r="F9" s="26"/>
      <c r="G9" s="26"/>
      <c r="H9" s="26"/>
      <c r="I9" s="20">
        <f t="shared" ref="I9:I12" si="2">COUNTIF(B9:H9, "X")</f>
        <v>0</v>
      </c>
      <c r="J9" s="20"/>
    </row>
    <row r="10" spans="1:10" ht="24" customHeight="1" x14ac:dyDescent="0.25">
      <c r="A10" s="14" t="s">
        <v>10</v>
      </c>
      <c r="B10" s="26"/>
      <c r="C10" s="26"/>
      <c r="D10" s="26"/>
      <c r="E10" s="26"/>
      <c r="F10" s="26"/>
      <c r="G10" s="26"/>
      <c r="H10" s="26"/>
      <c r="I10" s="20">
        <f t="shared" si="2"/>
        <v>0</v>
      </c>
      <c r="J10" s="20"/>
    </row>
    <row r="11" spans="1:10" ht="24" customHeight="1" x14ac:dyDescent="0.25">
      <c r="A11" s="14" t="s">
        <v>17</v>
      </c>
      <c r="B11" s="26"/>
      <c r="C11" s="26"/>
      <c r="D11" s="26"/>
      <c r="E11" s="26"/>
      <c r="F11" s="26"/>
      <c r="G11" s="26"/>
      <c r="H11" s="26"/>
      <c r="I11" s="20">
        <f t="shared" si="2"/>
        <v>0</v>
      </c>
      <c r="J11" s="20"/>
    </row>
    <row r="12" spans="1:10" ht="24" customHeight="1" x14ac:dyDescent="0.25">
      <c r="A12" s="14" t="s">
        <v>16</v>
      </c>
      <c r="B12" s="26"/>
      <c r="C12" s="26"/>
      <c r="D12" s="26"/>
      <c r="E12" s="26"/>
      <c r="F12" s="26"/>
      <c r="G12" s="26"/>
      <c r="H12" s="26"/>
      <c r="I12" s="20">
        <f t="shared" si="2"/>
        <v>0</v>
      </c>
      <c r="J12" s="20"/>
    </row>
    <row r="13" spans="1:10" ht="24" customHeight="1" x14ac:dyDescent="0.35">
      <c r="A13" s="72" t="s">
        <v>6</v>
      </c>
      <c r="B13" s="73"/>
      <c r="C13" s="73"/>
      <c r="D13" s="73"/>
      <c r="E13" s="73"/>
      <c r="F13" s="73"/>
      <c r="G13" s="73"/>
      <c r="H13" s="73"/>
      <c r="I13" s="73"/>
      <c r="J13" s="74"/>
    </row>
    <row r="14" spans="1:10" ht="24" customHeight="1" x14ac:dyDescent="0.25">
      <c r="A14" s="2" t="s">
        <v>95</v>
      </c>
      <c r="B14" s="71"/>
      <c r="C14" s="27">
        <v>2</v>
      </c>
      <c r="D14" s="27">
        <v>2</v>
      </c>
      <c r="E14" s="27">
        <v>1</v>
      </c>
      <c r="F14" s="27">
        <v>1</v>
      </c>
      <c r="G14" s="27">
        <v>1</v>
      </c>
      <c r="H14" s="27">
        <v>5</v>
      </c>
      <c r="I14" s="22">
        <f>SUM(C14:H14)</f>
        <v>12</v>
      </c>
      <c r="J14" s="75" t="s">
        <v>44</v>
      </c>
    </row>
    <row r="15" spans="1:10" ht="24" customHeight="1" x14ac:dyDescent="0.25">
      <c r="A15" s="2" t="s">
        <v>96</v>
      </c>
      <c r="B15" s="71"/>
      <c r="C15" s="27">
        <v>1</v>
      </c>
      <c r="D15" s="27">
        <v>1</v>
      </c>
      <c r="E15" s="27">
        <v>2</v>
      </c>
      <c r="F15" s="27">
        <v>1</v>
      </c>
      <c r="G15" s="27">
        <v>1</v>
      </c>
      <c r="H15" s="27">
        <v>1</v>
      </c>
      <c r="I15" s="22">
        <f>SUM(C15:H15)</f>
        <v>7</v>
      </c>
      <c r="J15" s="76"/>
    </row>
    <row r="16" spans="1:10" ht="24" customHeight="1" x14ac:dyDescent="0.25">
      <c r="A16" s="2" t="s">
        <v>97</v>
      </c>
      <c r="B16" s="71"/>
      <c r="C16" s="27">
        <v>2</v>
      </c>
      <c r="D16" s="27">
        <v>1</v>
      </c>
      <c r="E16" s="27">
        <v>3</v>
      </c>
      <c r="F16" s="27">
        <v>3</v>
      </c>
      <c r="G16" s="27">
        <v>8</v>
      </c>
      <c r="H16" s="27">
        <v>4</v>
      </c>
      <c r="I16" s="22">
        <f>SUM(C16:H16)</f>
        <v>21</v>
      </c>
      <c r="J16" s="75" t="s">
        <v>45</v>
      </c>
    </row>
    <row r="17" spans="1:10" ht="24" customHeight="1" x14ac:dyDescent="0.25">
      <c r="A17" s="2" t="s">
        <v>98</v>
      </c>
      <c r="B17" s="71"/>
      <c r="C17" s="27"/>
      <c r="D17" s="27"/>
      <c r="E17" s="27">
        <v>1</v>
      </c>
      <c r="F17" s="27">
        <v>1</v>
      </c>
      <c r="G17" s="27"/>
      <c r="H17" s="27"/>
      <c r="I17" s="22">
        <f>SUM(C17:H17)</f>
        <v>2</v>
      </c>
      <c r="J17" s="76"/>
    </row>
    <row r="18" spans="1:10" ht="24" customHeight="1" x14ac:dyDescent="0.25">
      <c r="A18" s="2" t="s">
        <v>99</v>
      </c>
      <c r="B18" s="71"/>
      <c r="C18" s="27"/>
      <c r="D18" s="27"/>
      <c r="E18" s="27">
        <v>1</v>
      </c>
      <c r="F18" s="27">
        <v>2</v>
      </c>
      <c r="G18" s="27"/>
      <c r="H18" s="27"/>
      <c r="I18" s="22">
        <f>SUM(C18:H18)</f>
        <v>3</v>
      </c>
      <c r="J18" s="52" t="s">
        <v>46</v>
      </c>
    </row>
    <row r="19" spans="1:10" s="35" customFormat="1" ht="24" customHeight="1" x14ac:dyDescent="0.25">
      <c r="A19" s="30" t="s">
        <v>14</v>
      </c>
      <c r="B19" s="30"/>
      <c r="C19" s="31">
        <f>IF(SUM(C14:C18)&gt;0,SUM(C16+C18)/SUM(C14:C18),NA())</f>
        <v>0.4</v>
      </c>
      <c r="D19" s="31">
        <f>IF(SUM(D14:D18)&gt;0,SUM(D16+D18)/SUM(D14:D18),NA())</f>
        <v>0.25</v>
      </c>
      <c r="E19" s="31">
        <f t="shared" ref="E19:H19" si="3">IF(SUM(E14:E18)&gt;0,SUM(E16+E18)/SUM(E14:E18),NA())</f>
        <v>0.5</v>
      </c>
      <c r="F19" s="31">
        <f t="shared" si="3"/>
        <v>0.625</v>
      </c>
      <c r="G19" s="31">
        <f t="shared" si="3"/>
        <v>0.8</v>
      </c>
      <c r="H19" s="31">
        <f t="shared" si="3"/>
        <v>0.4</v>
      </c>
      <c r="I19" s="32">
        <f>IFERROR(AVERAGEIF(C19:H19,"&gt;-1"),NA())</f>
        <v>0.49583333333333335</v>
      </c>
      <c r="J19" s="33"/>
    </row>
    <row r="20" spans="1:10" ht="24" customHeight="1" x14ac:dyDescent="0.35">
      <c r="A20" s="72" t="s">
        <v>2</v>
      </c>
      <c r="B20" s="73"/>
      <c r="C20" s="73"/>
      <c r="D20" s="73"/>
      <c r="E20" s="73"/>
      <c r="F20" s="73"/>
      <c r="G20" s="73"/>
      <c r="H20" s="73"/>
      <c r="I20" s="73"/>
      <c r="J20" s="74"/>
    </row>
    <row r="21" spans="1:10" ht="24" customHeight="1" x14ac:dyDescent="0.25">
      <c r="A21" s="2" t="s">
        <v>0</v>
      </c>
      <c r="B21" s="25"/>
      <c r="C21" s="25"/>
      <c r="D21" s="25"/>
      <c r="E21" s="25"/>
      <c r="F21" s="25"/>
      <c r="G21" s="25"/>
      <c r="H21" s="25"/>
      <c r="I21" s="19">
        <f>SUM(B21:H21)</f>
        <v>0</v>
      </c>
      <c r="J21" s="19"/>
    </row>
    <row r="22" spans="1:10" ht="24" customHeight="1" x14ac:dyDescent="0.25">
      <c r="A22" s="2" t="s">
        <v>8</v>
      </c>
      <c r="B22" s="25"/>
      <c r="C22" s="25"/>
      <c r="D22" s="25"/>
      <c r="E22" s="25"/>
      <c r="F22" s="25"/>
      <c r="G22" s="25"/>
      <c r="H22" s="25"/>
      <c r="I22" s="19">
        <f>SUM(B22:H22)</f>
        <v>0</v>
      </c>
      <c r="J22" s="19"/>
    </row>
    <row r="23" spans="1:10" ht="24" customHeight="1" x14ac:dyDescent="0.25">
      <c r="A23" s="2" t="s">
        <v>4</v>
      </c>
      <c r="B23" s="7" t="e">
        <f t="shared" ref="B23:H23" si="4">IFERROR(B21/(B21+B22),NA())</f>
        <v>#N/A</v>
      </c>
      <c r="C23" s="7" t="e">
        <f t="shared" si="4"/>
        <v>#N/A</v>
      </c>
      <c r="D23" s="7" t="e">
        <f t="shared" si="4"/>
        <v>#N/A</v>
      </c>
      <c r="E23" s="7" t="e">
        <f t="shared" si="4"/>
        <v>#N/A</v>
      </c>
      <c r="F23" s="7" t="e">
        <f t="shared" si="4"/>
        <v>#N/A</v>
      </c>
      <c r="G23" s="7" t="e">
        <f t="shared" si="4"/>
        <v>#N/A</v>
      </c>
      <c r="H23" s="7" t="e">
        <f t="shared" si="4"/>
        <v>#N/A</v>
      </c>
      <c r="I23" s="21" t="e">
        <f>IFERROR(AVERAGEIF(B23:H23,"&gt;-1"),NA())</f>
        <v>#N/A</v>
      </c>
      <c r="J23" s="21"/>
    </row>
    <row r="24" spans="1:10" ht="24" customHeight="1" x14ac:dyDescent="0.25">
      <c r="A24" s="77" t="s">
        <v>100</v>
      </c>
      <c r="B24" s="78"/>
      <c r="C24" s="78"/>
      <c r="D24" s="78"/>
      <c r="E24" s="78"/>
      <c r="F24" s="78"/>
      <c r="G24" s="78"/>
      <c r="H24" s="78"/>
      <c r="I24" s="78"/>
      <c r="J24" s="79"/>
    </row>
    <row r="25" spans="1:10" ht="24" hidden="1" customHeight="1" x14ac:dyDescent="0.25">
      <c r="A25" s="65" t="str">
        <f>IF(EXACT(SUM(SUMIF(I3,"&gt;0")+SUMIF(I6,"&gt;0")),SUM(I14:I18)),"","Please ensure rows 3 and 6 equal rows 14 through 18.")</f>
        <v/>
      </c>
    </row>
    <row r="26" spans="1:10" ht="24" customHeight="1" x14ac:dyDescent="0.25"/>
    <row r="27" spans="1:10" ht="24" customHeight="1" x14ac:dyDescent="0.25">
      <c r="A27" s="6"/>
    </row>
    <row r="28" spans="1:10" ht="24" customHeight="1" x14ac:dyDescent="0.25"/>
    <row r="29" spans="1:10" ht="24" customHeight="1" x14ac:dyDescent="0.25"/>
    <row r="30" spans="1:10" ht="24" customHeight="1" x14ac:dyDescent="0.25"/>
    <row r="31" spans="1:10" ht="24" customHeight="1" x14ac:dyDescent="0.25"/>
    <row r="32" spans="1:10" ht="24" customHeight="1" x14ac:dyDescent="0.25"/>
    <row r="33" spans="2:5" ht="24" customHeight="1" x14ac:dyDescent="0.25"/>
    <row r="34" spans="2:5" ht="24" customHeight="1" x14ac:dyDescent="0.25">
      <c r="B34" s="1"/>
      <c r="C34" s="1"/>
      <c r="D34" s="1"/>
      <c r="E34" s="1"/>
    </row>
    <row r="35" spans="2:5" ht="24" customHeight="1" x14ac:dyDescent="0.25">
      <c r="B35" s="1"/>
      <c r="C35" s="1"/>
      <c r="D35" s="1"/>
      <c r="E35" s="1"/>
    </row>
    <row r="36" spans="2:5" ht="24" customHeight="1" x14ac:dyDescent="0.25">
      <c r="B36" s="1"/>
      <c r="C36" s="1"/>
      <c r="D36" s="1"/>
      <c r="E36" s="1"/>
    </row>
    <row r="37" spans="2:5" ht="24" customHeight="1" x14ac:dyDescent="0.25">
      <c r="B37" s="1"/>
      <c r="C37" s="1"/>
      <c r="D37" s="1"/>
      <c r="E37" s="1"/>
    </row>
    <row r="38" spans="2:5" ht="24" customHeight="1" x14ac:dyDescent="0.25">
      <c r="B38" s="1"/>
      <c r="C38" s="1"/>
      <c r="D38" s="1"/>
      <c r="E38" s="1"/>
    </row>
    <row r="39" spans="2:5" ht="24" customHeight="1" x14ac:dyDescent="0.25">
      <c r="B39" s="1"/>
      <c r="C39" s="1"/>
      <c r="D39" s="1"/>
      <c r="E39" s="1"/>
    </row>
    <row r="40" spans="2:5" ht="24" customHeight="1" x14ac:dyDescent="0.25">
      <c r="B40" s="1"/>
      <c r="C40" s="1"/>
      <c r="D40" s="1"/>
      <c r="E40" s="1"/>
    </row>
    <row r="41" spans="2:5" ht="24" customHeight="1" x14ac:dyDescent="0.25"/>
    <row r="42" spans="2:5" ht="24" customHeight="1" x14ac:dyDescent="0.25"/>
    <row r="43" spans="2:5" ht="24" customHeight="1" x14ac:dyDescent="0.25"/>
    <row r="44" spans="2:5" ht="24" customHeight="1" x14ac:dyDescent="0.25"/>
    <row r="45" spans="2:5" ht="24" customHeight="1" x14ac:dyDescent="0.25"/>
    <row r="46" spans="2:5" ht="24" customHeight="1" x14ac:dyDescent="0.25"/>
    <row r="47" spans="2:5" ht="24" customHeight="1" x14ac:dyDescent="0.25"/>
    <row r="48" spans="2:5" ht="24" customHeight="1" x14ac:dyDescent="0.25"/>
    <row r="49" ht="24" customHeight="1" x14ac:dyDescent="0.25"/>
    <row r="50" ht="24" customHeight="1" x14ac:dyDescent="0.25"/>
    <row r="51" ht="24" customHeight="1" x14ac:dyDescent="0.25"/>
    <row r="52" ht="24" customHeight="1" x14ac:dyDescent="0.25"/>
    <row r="53" ht="24" customHeight="1" x14ac:dyDescent="0.25"/>
    <row r="54" ht="24" customHeight="1" x14ac:dyDescent="0.25"/>
    <row r="55" ht="24" customHeight="1" x14ac:dyDescent="0.25"/>
    <row r="56" ht="24" customHeight="1" x14ac:dyDescent="0.25"/>
    <row r="57" ht="24" customHeight="1" x14ac:dyDescent="0.25"/>
    <row r="58" ht="24" customHeight="1" x14ac:dyDescent="0.25"/>
    <row r="59" ht="24" customHeight="1" x14ac:dyDescent="0.25"/>
    <row r="60" ht="24" customHeight="1" x14ac:dyDescent="0.25"/>
    <row r="61" ht="24" customHeight="1" x14ac:dyDescent="0.25"/>
    <row r="62" ht="24" customHeight="1" x14ac:dyDescent="0.25"/>
    <row r="63" ht="24" customHeight="1" x14ac:dyDescent="0.25"/>
    <row r="64" ht="24" customHeight="1" x14ac:dyDescent="0.25"/>
    <row r="65" ht="24" customHeight="1" x14ac:dyDescent="0.25"/>
    <row r="66" ht="24" customHeight="1" x14ac:dyDescent="0.25"/>
    <row r="67" ht="24" customHeight="1" x14ac:dyDescent="0.25"/>
    <row r="68" ht="24" customHeight="1" x14ac:dyDescent="0.25"/>
    <row r="69" ht="24" customHeight="1" x14ac:dyDescent="0.25"/>
    <row r="70" ht="24" customHeight="1" x14ac:dyDescent="0.25"/>
    <row r="71" ht="24" customHeight="1" x14ac:dyDescent="0.25"/>
    <row r="72" ht="24" customHeight="1" x14ac:dyDescent="0.25"/>
    <row r="73" ht="24" customHeight="1" x14ac:dyDescent="0.25"/>
    <row r="74" ht="24" customHeight="1" x14ac:dyDescent="0.25"/>
    <row r="75" ht="24" customHeight="1" x14ac:dyDescent="0.25"/>
    <row r="76" ht="24" customHeight="1" x14ac:dyDescent="0.25"/>
    <row r="77" ht="24" customHeight="1" x14ac:dyDescent="0.25"/>
    <row r="78" ht="24" customHeight="1" x14ac:dyDescent="0.25"/>
    <row r="79" ht="24" customHeight="1" x14ac:dyDescent="0.25"/>
    <row r="80" ht="24" customHeight="1" x14ac:dyDescent="0.25"/>
    <row r="81" ht="24" customHeight="1" x14ac:dyDescent="0.25"/>
    <row r="82" ht="24" customHeight="1" x14ac:dyDescent="0.25"/>
    <row r="83" ht="24" customHeight="1" x14ac:dyDescent="0.25"/>
    <row r="84" ht="24" customHeight="1" x14ac:dyDescent="0.25"/>
    <row r="85" ht="24" customHeight="1" x14ac:dyDescent="0.25"/>
    <row r="86" ht="24" customHeight="1" x14ac:dyDescent="0.25"/>
    <row r="87" ht="24" customHeight="1" x14ac:dyDescent="0.25"/>
    <row r="88" ht="24" customHeight="1" x14ac:dyDescent="0.25"/>
    <row r="89" ht="24" customHeight="1" x14ac:dyDescent="0.25"/>
    <row r="90" ht="24" customHeight="1" x14ac:dyDescent="0.25"/>
    <row r="91" ht="24" customHeight="1" x14ac:dyDescent="0.25"/>
    <row r="92" ht="24" customHeight="1" x14ac:dyDescent="0.25"/>
    <row r="93" ht="24" customHeight="1" x14ac:dyDescent="0.25"/>
    <row r="94" ht="24" customHeight="1" x14ac:dyDescent="0.25"/>
    <row r="95" ht="24" customHeight="1" x14ac:dyDescent="0.25"/>
    <row r="96" ht="24" customHeight="1" x14ac:dyDescent="0.25"/>
    <row r="97" ht="24" customHeight="1" x14ac:dyDescent="0.25"/>
    <row r="98" ht="24" customHeight="1" x14ac:dyDescent="0.25"/>
    <row r="99" ht="24" customHeight="1" x14ac:dyDescent="0.25"/>
    <row r="100" ht="24" customHeight="1" x14ac:dyDescent="0.25"/>
    <row r="101" ht="24" customHeight="1" x14ac:dyDescent="0.25"/>
    <row r="102" ht="24" customHeight="1" x14ac:dyDescent="0.25"/>
    <row r="103" ht="24" customHeight="1" x14ac:dyDescent="0.25"/>
    <row r="104" ht="24" customHeight="1" x14ac:dyDescent="0.25"/>
    <row r="105" ht="24" customHeight="1" x14ac:dyDescent="0.25"/>
    <row r="106" ht="24" customHeight="1" x14ac:dyDescent="0.25"/>
    <row r="107" ht="24" customHeight="1" x14ac:dyDescent="0.25"/>
    <row r="108" ht="24" customHeight="1" x14ac:dyDescent="0.25"/>
    <row r="109" ht="24" customHeight="1" x14ac:dyDescent="0.25"/>
    <row r="110" ht="24" customHeight="1" x14ac:dyDescent="0.25"/>
    <row r="111" ht="24" customHeight="1" x14ac:dyDescent="0.25"/>
    <row r="112" ht="24" customHeight="1" x14ac:dyDescent="0.25"/>
    <row r="113" ht="24" customHeight="1" x14ac:dyDescent="0.25"/>
    <row r="114" ht="24" customHeight="1" x14ac:dyDescent="0.25"/>
    <row r="115" ht="24" customHeight="1" x14ac:dyDescent="0.25"/>
    <row r="116" ht="24" customHeight="1" x14ac:dyDescent="0.25"/>
    <row r="117" ht="24" customHeight="1" x14ac:dyDescent="0.25"/>
    <row r="118" ht="24" customHeight="1" x14ac:dyDescent="0.25"/>
    <row r="119" ht="24" customHeight="1" x14ac:dyDescent="0.25"/>
    <row r="120" ht="24" customHeight="1" x14ac:dyDescent="0.25"/>
    <row r="121" ht="24" customHeight="1" x14ac:dyDescent="0.25"/>
    <row r="122" ht="24" customHeight="1" x14ac:dyDescent="0.25"/>
    <row r="123" ht="24" customHeight="1" x14ac:dyDescent="0.25"/>
    <row r="124" ht="24" customHeight="1" x14ac:dyDescent="0.25"/>
    <row r="125" ht="24" customHeight="1" x14ac:dyDescent="0.25"/>
  </sheetData>
  <protectedRanges>
    <protectedRange sqref="E3:H4" name="Q2 Sprint Completion_2_1"/>
    <protectedRange sqref="E6:H6" name="Q2 Add Ons_1"/>
    <protectedRange sqref="F8:H10" name="Q2  Reasons_1_3_1"/>
    <protectedRange sqref="E8:E9" name="Q2  Reasons_1_2_1"/>
    <protectedRange sqref="D8 B8" name="Q2  Reasons_1_1_1"/>
    <protectedRange sqref="B10:E10 E8 B9:D9" name="Q2  Reasons_1_4"/>
    <protectedRange sqref="B11:H12" name="Q2  Reasons_2"/>
    <protectedRange sqref="E14:H18" name="Q2 Support_3_1"/>
    <protectedRange sqref="E21:H22" name="Q2 Continuous Improvement_2_1"/>
    <protectedRange sqref="C3:D4" name="Q2 Sprint Completion_1_1_1"/>
    <protectedRange sqref="C6:D6" name="Q2 Add Ons_1_1"/>
    <protectedRange sqref="D14:D18" name="Q2 Support_3_1_1"/>
    <protectedRange sqref="C14:C18" name="Q2 Support_1_1_1"/>
    <protectedRange sqref="D21:D22" name="Q2 Continuous Improvement_2_1_1"/>
    <protectedRange sqref="C21:C22" name="Q2 Continuous Improvement_1_1_1"/>
    <protectedRange sqref="B21:B22" name="Q2 Continuous Improvement_3_1"/>
  </protectedRanges>
  <mergeCells count="7">
    <mergeCell ref="A24:J24"/>
    <mergeCell ref="A2:J2"/>
    <mergeCell ref="A7:J7"/>
    <mergeCell ref="A13:J13"/>
    <mergeCell ref="J14:J15"/>
    <mergeCell ref="J16:J17"/>
    <mergeCell ref="A20:J20"/>
  </mergeCells>
  <conditionalFormatting sqref="B11:H12 D5 E5:H6 E8:H10 B9:C10 B8 D8">
    <cfRule type="containsErrors" dxfId="49" priority="16">
      <formula>ISERROR(B5)</formula>
    </cfRule>
  </conditionalFormatting>
  <conditionalFormatting sqref="I19">
    <cfRule type="containsErrors" dxfId="48" priority="14">
      <formula>ISERROR(I19)</formula>
    </cfRule>
  </conditionalFormatting>
  <conditionalFormatting sqref="E6:H6">
    <cfRule type="containsErrors" dxfId="47" priority="13">
      <formula>ISERROR(E6)</formula>
    </cfRule>
  </conditionalFormatting>
  <conditionalFormatting sqref="B11:H12 E8:H10">
    <cfRule type="containsErrors" dxfId="46" priority="12">
      <formula>ISERROR(B8)</formula>
    </cfRule>
  </conditionalFormatting>
  <conditionalFormatting sqref="C6:D6">
    <cfRule type="containsErrors" dxfId="45" priority="11">
      <formula>ISERROR(C6)</formula>
    </cfRule>
  </conditionalFormatting>
  <conditionalFormatting sqref="C6:D6">
    <cfRule type="containsErrors" dxfId="44" priority="10">
      <formula>ISERROR(C6)</formula>
    </cfRule>
  </conditionalFormatting>
  <conditionalFormatting sqref="D9:D10">
    <cfRule type="containsErrors" dxfId="43" priority="9">
      <formula>ISERROR(D9)</formula>
    </cfRule>
  </conditionalFormatting>
  <conditionalFormatting sqref="D9:D10">
    <cfRule type="containsErrors" dxfId="42" priority="8">
      <formula>ISERROR(D9)</formula>
    </cfRule>
  </conditionalFormatting>
  <conditionalFormatting sqref="I5">
    <cfRule type="containsErrors" dxfId="41" priority="6">
      <formula>ISERROR(I5)</formula>
    </cfRule>
  </conditionalFormatting>
  <conditionalFormatting sqref="J5">
    <cfRule type="containsErrors" dxfId="40" priority="5">
      <formula>ISERROR(J5)</formula>
    </cfRule>
  </conditionalFormatting>
  <conditionalFormatting sqref="I23">
    <cfRule type="containsErrors" dxfId="39" priority="4">
      <formula>ISERROR(I23)</formula>
    </cfRule>
  </conditionalFormatting>
  <conditionalFormatting sqref="C5">
    <cfRule type="containsErrors" dxfId="38" priority="3">
      <formula>ISERROR(C5)</formula>
    </cfRule>
  </conditionalFormatting>
  <conditionalFormatting sqref="C19:H19">
    <cfRule type="containsErrors" dxfId="37" priority="2">
      <formula>ISERROR(C19)</formula>
    </cfRule>
  </conditionalFormatting>
  <conditionalFormatting sqref="B23:H23">
    <cfRule type="containsErrors" dxfId="36" priority="1">
      <formula>ISERROR(B23)</formula>
    </cfRule>
  </conditionalFormatting>
  <pageMargins left="0.6" right="0.6" top="0.75" bottom="0.75" header="0.3" footer="0.3"/>
  <pageSetup scale="90"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I125"/>
  <sheetViews>
    <sheetView showGridLines="0" tabSelected="1" zoomScaleNormal="100" workbookViewId="0">
      <pane ySplit="1" topLeftCell="A9" activePane="bottomLeft" state="frozen"/>
      <selection pane="bottomLeft" activeCell="D16" sqref="D16"/>
    </sheetView>
  </sheetViews>
  <sheetFormatPr defaultRowHeight="15.75" x14ac:dyDescent="0.25"/>
  <cols>
    <col min="1" max="1" width="62.140625" style="1" customWidth="1"/>
    <col min="2" max="2" width="13" style="5" customWidth="1"/>
    <col min="3" max="5" width="13" style="6" customWidth="1"/>
    <col min="6" max="9" width="13" style="1" customWidth="1"/>
    <col min="10" max="16384" width="9.140625" style="1"/>
  </cols>
  <sheetData>
    <row r="1" spans="1:9" s="9" customFormat="1" ht="31.5" customHeight="1" x14ac:dyDescent="0.25">
      <c r="A1" s="8" t="s">
        <v>1</v>
      </c>
      <c r="B1" s="11">
        <v>43931</v>
      </c>
      <c r="C1" s="11">
        <v>43945</v>
      </c>
      <c r="D1" s="11">
        <v>43959</v>
      </c>
      <c r="E1" s="11">
        <v>43973</v>
      </c>
      <c r="F1" s="11">
        <v>43987</v>
      </c>
      <c r="G1" s="11">
        <v>44001</v>
      </c>
      <c r="H1" s="15" t="s">
        <v>23</v>
      </c>
      <c r="I1" s="36" t="s">
        <v>18</v>
      </c>
    </row>
    <row r="2" spans="1:9" ht="24" customHeight="1" x14ac:dyDescent="0.35">
      <c r="A2" s="72" t="s">
        <v>5</v>
      </c>
      <c r="B2" s="73"/>
      <c r="C2" s="73"/>
      <c r="D2" s="73"/>
      <c r="E2" s="73"/>
      <c r="F2" s="73"/>
      <c r="G2" s="73"/>
      <c r="H2" s="73"/>
      <c r="I2" s="74"/>
    </row>
    <row r="3" spans="1:9" ht="24" customHeight="1" x14ac:dyDescent="0.25">
      <c r="A3" s="3" t="s">
        <v>29</v>
      </c>
      <c r="B3" s="25">
        <v>9</v>
      </c>
      <c r="C3" s="25">
        <v>6</v>
      </c>
      <c r="D3" s="25"/>
      <c r="E3" s="25"/>
      <c r="F3" s="25"/>
      <c r="G3" s="25"/>
      <c r="H3" s="19">
        <f>IF(SUM(B3:G3)&gt;0,SUM(B3:G3),"")</f>
        <v>15</v>
      </c>
      <c r="I3" s="19"/>
    </row>
    <row r="4" spans="1:9" ht="24" customHeight="1" x14ac:dyDescent="0.25">
      <c r="A4" s="2" t="s">
        <v>30</v>
      </c>
      <c r="B4" s="25">
        <v>2</v>
      </c>
      <c r="C4" s="25"/>
      <c r="D4" s="25"/>
      <c r="E4" s="25"/>
      <c r="F4" s="25"/>
      <c r="G4" s="25"/>
      <c r="H4" s="19">
        <f>IF(SUM(B4:G4)&gt;0,SUM(B4:G4),"")</f>
        <v>2</v>
      </c>
      <c r="I4" s="19"/>
    </row>
    <row r="5" spans="1:9" ht="24" customHeight="1" x14ac:dyDescent="0.25">
      <c r="A5" s="2" t="s">
        <v>3</v>
      </c>
      <c r="B5" s="7">
        <f t="shared" ref="B5" si="0">IFERROR(B3/(B3+B4),NA())</f>
        <v>0.81818181818181823</v>
      </c>
      <c r="C5" s="7">
        <f>IFERROR(C3/(C3+C4),NA())</f>
        <v>1</v>
      </c>
      <c r="D5" s="7" t="e">
        <f>IFERROR(D3/(D3+D4),NA())</f>
        <v>#N/A</v>
      </c>
      <c r="E5" s="7" t="e">
        <f>IFERROR(E3/(E3+E4),NA())</f>
        <v>#N/A</v>
      </c>
      <c r="F5" s="7" t="e">
        <f t="shared" ref="F5:G5" si="1">IFERROR(F3/(F3+F4),NA())</f>
        <v>#N/A</v>
      </c>
      <c r="G5" s="7" t="e">
        <f t="shared" si="1"/>
        <v>#N/A</v>
      </c>
      <c r="H5" s="21">
        <f>IFERROR(AVERAGEIF(B5:G5,"&gt;-1"),NA())</f>
        <v>0.90909090909090917</v>
      </c>
      <c r="I5" s="21">
        <f>IFERROR(COUNTIF(B5:G5,"=1")/(COUNTIF(B5:G5,"&gt;0")+COUNTIF(B5:G5,0)),NA())</f>
        <v>0.5</v>
      </c>
    </row>
    <row r="6" spans="1:9" ht="24" customHeight="1" x14ac:dyDescent="0.25">
      <c r="A6" s="2" t="s">
        <v>73</v>
      </c>
      <c r="B6" s="25"/>
      <c r="C6" s="25">
        <v>3</v>
      </c>
      <c r="D6" s="25"/>
      <c r="E6" s="25"/>
      <c r="F6" s="25"/>
      <c r="G6" s="25"/>
      <c r="H6" s="19">
        <f>IF(SUM(B6:G6)&gt;0,SUM(B6:G6),"")</f>
        <v>3</v>
      </c>
      <c r="I6" s="19"/>
    </row>
    <row r="7" spans="1:9" ht="24" customHeight="1" x14ac:dyDescent="0.35">
      <c r="A7" s="72" t="s">
        <v>7</v>
      </c>
      <c r="B7" s="73"/>
      <c r="C7" s="73"/>
      <c r="D7" s="73"/>
      <c r="E7" s="73"/>
      <c r="F7" s="73"/>
      <c r="G7" s="73"/>
      <c r="H7" s="73"/>
      <c r="I7" s="74"/>
    </row>
    <row r="8" spans="1:9" ht="24" customHeight="1" x14ac:dyDescent="0.25">
      <c r="A8" s="14" t="s">
        <v>9</v>
      </c>
      <c r="B8" s="26"/>
      <c r="C8" s="26"/>
      <c r="D8" s="26"/>
      <c r="E8" s="26"/>
      <c r="F8" s="26"/>
      <c r="G8" s="26"/>
      <c r="H8" s="20">
        <f>COUNTIF(B8:G8, "X")</f>
        <v>0</v>
      </c>
      <c r="I8" s="20"/>
    </row>
    <row r="9" spans="1:9" ht="24" customHeight="1" x14ac:dyDescent="0.25">
      <c r="A9" s="14" t="s">
        <v>13</v>
      </c>
      <c r="B9" s="26"/>
      <c r="C9" s="26"/>
      <c r="D9" s="26"/>
      <c r="E9" s="26"/>
      <c r="F9" s="26"/>
      <c r="G9" s="26"/>
      <c r="H9" s="20">
        <f t="shared" ref="H9:H12" si="2">COUNTIF(B9:G9, "X")</f>
        <v>0</v>
      </c>
      <c r="I9" s="20"/>
    </row>
    <row r="10" spans="1:9" ht="24" customHeight="1" x14ac:dyDescent="0.25">
      <c r="A10" s="14" t="s">
        <v>10</v>
      </c>
      <c r="B10" s="26" t="s">
        <v>139</v>
      </c>
      <c r="C10" s="26"/>
      <c r="D10" s="26"/>
      <c r="E10" s="26"/>
      <c r="F10" s="26"/>
      <c r="G10" s="26"/>
      <c r="H10" s="20">
        <f t="shared" si="2"/>
        <v>1</v>
      </c>
      <c r="I10" s="20"/>
    </row>
    <row r="11" spans="1:9" ht="24" customHeight="1" x14ac:dyDescent="0.25">
      <c r="A11" s="14" t="s">
        <v>17</v>
      </c>
      <c r="B11" s="26"/>
      <c r="C11" s="26"/>
      <c r="D11" s="26"/>
      <c r="E11" s="26"/>
      <c r="F11" s="26"/>
      <c r="G11" s="26"/>
      <c r="H11" s="20">
        <f t="shared" si="2"/>
        <v>0</v>
      </c>
      <c r="I11" s="20"/>
    </row>
    <row r="12" spans="1:9" ht="24" customHeight="1" x14ac:dyDescent="0.25">
      <c r="A12" s="14" t="s">
        <v>16</v>
      </c>
      <c r="B12" s="26"/>
      <c r="C12" s="26"/>
      <c r="D12" s="26"/>
      <c r="E12" s="26"/>
      <c r="F12" s="26"/>
      <c r="G12" s="26"/>
      <c r="H12" s="20">
        <f t="shared" si="2"/>
        <v>0</v>
      </c>
      <c r="I12" s="20"/>
    </row>
    <row r="13" spans="1:9" ht="24" customHeight="1" x14ac:dyDescent="0.35">
      <c r="A13" s="72" t="s">
        <v>6</v>
      </c>
      <c r="B13" s="73"/>
      <c r="C13" s="73"/>
      <c r="D13" s="73"/>
      <c r="E13" s="73"/>
      <c r="F13" s="73"/>
      <c r="G13" s="73"/>
      <c r="H13" s="73"/>
      <c r="I13" s="74"/>
    </row>
    <row r="14" spans="1:9" ht="24" customHeight="1" x14ac:dyDescent="0.25">
      <c r="A14" s="2" t="s">
        <v>95</v>
      </c>
      <c r="B14" s="27">
        <v>4</v>
      </c>
      <c r="C14" s="27">
        <v>3</v>
      </c>
      <c r="D14" s="27"/>
      <c r="E14" s="27"/>
      <c r="F14" s="27"/>
      <c r="G14" s="27"/>
      <c r="H14" s="22">
        <f>SUM(B14:G14)</f>
        <v>7</v>
      </c>
      <c r="I14" s="75" t="s">
        <v>44</v>
      </c>
    </row>
    <row r="15" spans="1:9" ht="24" customHeight="1" x14ac:dyDescent="0.25">
      <c r="A15" s="2" t="s">
        <v>96</v>
      </c>
      <c r="B15" s="27">
        <v>1</v>
      </c>
      <c r="C15" s="27">
        <v>1</v>
      </c>
      <c r="D15" s="27"/>
      <c r="E15" s="27"/>
      <c r="F15" s="27"/>
      <c r="G15" s="27"/>
      <c r="H15" s="22">
        <f t="shared" ref="H15:H18" si="3">SUM(B15:G15)</f>
        <v>2</v>
      </c>
      <c r="I15" s="76"/>
    </row>
    <row r="16" spans="1:9" ht="24" customHeight="1" x14ac:dyDescent="0.25">
      <c r="A16" s="2" t="s">
        <v>97</v>
      </c>
      <c r="B16" s="27">
        <v>4</v>
      </c>
      <c r="C16" s="27">
        <v>3</v>
      </c>
      <c r="D16" s="27"/>
      <c r="E16" s="27"/>
      <c r="F16" s="27"/>
      <c r="G16" s="27"/>
      <c r="H16" s="22">
        <f t="shared" si="3"/>
        <v>7</v>
      </c>
      <c r="I16" s="75" t="s">
        <v>45</v>
      </c>
    </row>
    <row r="17" spans="1:9" ht="24" customHeight="1" x14ac:dyDescent="0.25">
      <c r="A17" s="2" t="s">
        <v>98</v>
      </c>
      <c r="B17" s="27"/>
      <c r="C17" s="27">
        <v>2</v>
      </c>
      <c r="D17" s="27"/>
      <c r="E17" s="27"/>
      <c r="F17" s="27"/>
      <c r="G17" s="27"/>
      <c r="H17" s="22">
        <f t="shared" si="3"/>
        <v>2</v>
      </c>
      <c r="I17" s="76"/>
    </row>
    <row r="18" spans="1:9" ht="24" customHeight="1" x14ac:dyDescent="0.25">
      <c r="A18" s="2" t="s">
        <v>99</v>
      </c>
      <c r="B18" s="27"/>
      <c r="C18" s="27"/>
      <c r="D18" s="27"/>
      <c r="E18" s="27"/>
      <c r="F18" s="27"/>
      <c r="G18" s="27"/>
      <c r="H18" s="22">
        <f t="shared" si="3"/>
        <v>0</v>
      </c>
      <c r="I18" s="52" t="s">
        <v>46</v>
      </c>
    </row>
    <row r="19" spans="1:9" s="35" customFormat="1" ht="24" customHeight="1" x14ac:dyDescent="0.25">
      <c r="A19" s="30" t="s">
        <v>14</v>
      </c>
      <c r="B19" s="31">
        <f>IF(SUM(B14:B18)&gt;0,SUM(B16:B18)/SUM(B14:B18),NA())</f>
        <v>0.44444444444444442</v>
      </c>
      <c r="C19" s="31">
        <f t="shared" ref="C19" si="4">IF(SUM(C14:C18)&gt;0,SUM(C16:C18)/SUM(C14:C18),NA())</f>
        <v>0.55555555555555558</v>
      </c>
      <c r="D19" s="31" t="e">
        <f t="shared" ref="D19:G19" si="5">IF(SUM(D14:D18)&gt;0,SUM(D16+D18)/SUM(D14:D18),NA())</f>
        <v>#N/A</v>
      </c>
      <c r="E19" s="31" t="e">
        <f t="shared" si="5"/>
        <v>#N/A</v>
      </c>
      <c r="F19" s="31" t="e">
        <f t="shared" si="5"/>
        <v>#N/A</v>
      </c>
      <c r="G19" s="31" t="e">
        <f t="shared" si="5"/>
        <v>#N/A</v>
      </c>
      <c r="H19" s="32">
        <f>IFERROR(AVERAGEIF(A19:G19,"&gt;-1"),NA())</f>
        <v>0.5</v>
      </c>
      <c r="I19" s="33"/>
    </row>
    <row r="20" spans="1:9" ht="24" customHeight="1" x14ac:dyDescent="0.35">
      <c r="A20" s="72" t="s">
        <v>2</v>
      </c>
      <c r="B20" s="73"/>
      <c r="C20" s="73"/>
      <c r="D20" s="73"/>
      <c r="E20" s="73"/>
      <c r="F20" s="73"/>
      <c r="G20" s="73"/>
      <c r="H20" s="73"/>
      <c r="I20" s="74"/>
    </row>
    <row r="21" spans="1:9" ht="24" customHeight="1" x14ac:dyDescent="0.25">
      <c r="A21" s="2" t="s">
        <v>0</v>
      </c>
      <c r="B21" s="25"/>
      <c r="C21" s="25"/>
      <c r="D21" s="25"/>
      <c r="E21" s="25"/>
      <c r="F21" s="25"/>
      <c r="G21" s="25"/>
      <c r="H21" s="19">
        <f>SUM(B21:G21)</f>
        <v>0</v>
      </c>
      <c r="I21" s="19"/>
    </row>
    <row r="22" spans="1:9" ht="24" customHeight="1" x14ac:dyDescent="0.25">
      <c r="A22" s="2" t="s">
        <v>8</v>
      </c>
      <c r="B22" s="25"/>
      <c r="C22" s="25"/>
      <c r="D22" s="25"/>
      <c r="E22" s="25"/>
      <c r="F22" s="25"/>
      <c r="G22" s="25"/>
      <c r="H22" s="19">
        <f>SUM(B22:G22)</f>
        <v>0</v>
      </c>
      <c r="I22" s="19"/>
    </row>
    <row r="23" spans="1:9" ht="24" customHeight="1" x14ac:dyDescent="0.25">
      <c r="A23" s="2" t="s">
        <v>4</v>
      </c>
      <c r="B23" s="7" t="e">
        <f t="shared" ref="B23:G23" si="6">IFERROR(B21/(B21+B22),NA())</f>
        <v>#N/A</v>
      </c>
      <c r="C23" s="7" t="e">
        <f t="shared" si="6"/>
        <v>#N/A</v>
      </c>
      <c r="D23" s="7" t="e">
        <f t="shared" si="6"/>
        <v>#N/A</v>
      </c>
      <c r="E23" s="7" t="e">
        <f t="shared" si="6"/>
        <v>#N/A</v>
      </c>
      <c r="F23" s="7" t="e">
        <f t="shared" si="6"/>
        <v>#N/A</v>
      </c>
      <c r="G23" s="7" t="e">
        <f t="shared" si="6"/>
        <v>#N/A</v>
      </c>
      <c r="H23" s="21" t="e">
        <f>IFERROR(AVERAGEIF(B23:G23,"&gt;-1"),NA())</f>
        <v>#N/A</v>
      </c>
      <c r="I23" s="21"/>
    </row>
    <row r="24" spans="1:9" ht="24" customHeight="1" x14ac:dyDescent="0.25">
      <c r="A24" s="77" t="s">
        <v>100</v>
      </c>
      <c r="B24" s="78"/>
      <c r="C24" s="78"/>
      <c r="D24" s="78"/>
      <c r="E24" s="78"/>
      <c r="F24" s="78"/>
      <c r="G24" s="78"/>
      <c r="H24" s="78"/>
      <c r="I24" s="79"/>
    </row>
    <row r="25" spans="1:9" ht="24" hidden="1" customHeight="1" x14ac:dyDescent="0.25">
      <c r="A25" s="65" t="str">
        <f>IF(EXACT(SUM(SUMIF(H3,"&gt;0")+SUMIF(H6,"&gt;0")),SUM(H14:H18)),"","Please ensure rows 3 and 6 equal rows 14 through 18.")</f>
        <v/>
      </c>
    </row>
    <row r="26" spans="1:9" ht="24" customHeight="1" x14ac:dyDescent="0.25"/>
    <row r="27" spans="1:9" ht="24" customHeight="1" x14ac:dyDescent="0.25">
      <c r="A27" s="6"/>
    </row>
    <row r="28" spans="1:9" ht="24" customHeight="1" x14ac:dyDescent="0.25"/>
    <row r="29" spans="1:9" ht="24" customHeight="1" x14ac:dyDescent="0.25"/>
    <row r="30" spans="1:9" ht="24" customHeight="1" x14ac:dyDescent="0.25"/>
    <row r="31" spans="1:9" ht="24" customHeight="1" x14ac:dyDescent="0.25"/>
    <row r="32" spans="1:9" ht="24" customHeight="1" x14ac:dyDescent="0.25"/>
    <row r="33" spans="2:5" ht="24" customHeight="1" x14ac:dyDescent="0.25"/>
    <row r="34" spans="2:5" ht="24" customHeight="1" x14ac:dyDescent="0.25">
      <c r="B34" s="1"/>
      <c r="C34" s="1"/>
      <c r="D34" s="1"/>
      <c r="E34" s="1"/>
    </row>
    <row r="35" spans="2:5" ht="24" customHeight="1" x14ac:dyDescent="0.25">
      <c r="B35" s="1"/>
      <c r="C35" s="1"/>
      <c r="D35" s="1"/>
      <c r="E35" s="1"/>
    </row>
    <row r="36" spans="2:5" ht="24" customHeight="1" x14ac:dyDescent="0.25">
      <c r="B36" s="1"/>
      <c r="C36" s="1"/>
      <c r="D36" s="1"/>
      <c r="E36" s="1"/>
    </row>
    <row r="37" spans="2:5" ht="24" customHeight="1" x14ac:dyDescent="0.25">
      <c r="B37" s="1"/>
      <c r="C37" s="1"/>
      <c r="D37" s="1"/>
      <c r="E37" s="1"/>
    </row>
    <row r="38" spans="2:5" ht="24" customHeight="1" x14ac:dyDescent="0.25">
      <c r="B38" s="1"/>
      <c r="C38" s="1"/>
      <c r="D38" s="1"/>
      <c r="E38" s="1"/>
    </row>
    <row r="39" spans="2:5" ht="24" customHeight="1" x14ac:dyDescent="0.25">
      <c r="B39" s="1"/>
      <c r="C39" s="1"/>
      <c r="D39" s="1"/>
      <c r="E39" s="1"/>
    </row>
    <row r="40" spans="2:5" ht="24" customHeight="1" x14ac:dyDescent="0.25">
      <c r="B40" s="1"/>
      <c r="C40" s="1"/>
      <c r="D40" s="1"/>
      <c r="E40" s="1"/>
    </row>
    <row r="41" spans="2:5" ht="24" customHeight="1" x14ac:dyDescent="0.25"/>
    <row r="42" spans="2:5" ht="24" customHeight="1" x14ac:dyDescent="0.25"/>
    <row r="43" spans="2:5" ht="24" customHeight="1" x14ac:dyDescent="0.25"/>
    <row r="44" spans="2:5" ht="24" customHeight="1" x14ac:dyDescent="0.25"/>
    <row r="45" spans="2:5" ht="24" customHeight="1" x14ac:dyDescent="0.25"/>
    <row r="46" spans="2:5" ht="24" customHeight="1" x14ac:dyDescent="0.25"/>
    <row r="47" spans="2:5" ht="24" customHeight="1" x14ac:dyDescent="0.25"/>
    <row r="48" spans="2:5" ht="24" customHeight="1" x14ac:dyDescent="0.25"/>
    <row r="49" ht="24" customHeight="1" x14ac:dyDescent="0.25"/>
    <row r="50" ht="24" customHeight="1" x14ac:dyDescent="0.25"/>
    <row r="51" ht="24" customHeight="1" x14ac:dyDescent="0.25"/>
    <row r="52" ht="24" customHeight="1" x14ac:dyDescent="0.25"/>
    <row r="53" ht="24" customHeight="1" x14ac:dyDescent="0.25"/>
    <row r="54" ht="24" customHeight="1" x14ac:dyDescent="0.25"/>
    <row r="55" ht="24" customHeight="1" x14ac:dyDescent="0.25"/>
    <row r="56" ht="24" customHeight="1" x14ac:dyDescent="0.25"/>
    <row r="57" ht="24" customHeight="1" x14ac:dyDescent="0.25"/>
    <row r="58" ht="24" customHeight="1" x14ac:dyDescent="0.25"/>
    <row r="59" ht="24" customHeight="1" x14ac:dyDescent="0.25"/>
    <row r="60" ht="24" customHeight="1" x14ac:dyDescent="0.25"/>
    <row r="61" ht="24" customHeight="1" x14ac:dyDescent="0.25"/>
    <row r="62" ht="24" customHeight="1" x14ac:dyDescent="0.25"/>
    <row r="63" ht="24" customHeight="1" x14ac:dyDescent="0.25"/>
    <row r="64" ht="24" customHeight="1" x14ac:dyDescent="0.25"/>
    <row r="65" ht="24" customHeight="1" x14ac:dyDescent="0.25"/>
    <row r="66" ht="24" customHeight="1" x14ac:dyDescent="0.25"/>
    <row r="67" ht="24" customHeight="1" x14ac:dyDescent="0.25"/>
    <row r="68" ht="24" customHeight="1" x14ac:dyDescent="0.25"/>
    <row r="69" ht="24" customHeight="1" x14ac:dyDescent="0.25"/>
    <row r="70" ht="24" customHeight="1" x14ac:dyDescent="0.25"/>
    <row r="71" ht="24" customHeight="1" x14ac:dyDescent="0.25"/>
    <row r="72" ht="24" customHeight="1" x14ac:dyDescent="0.25"/>
    <row r="73" ht="24" customHeight="1" x14ac:dyDescent="0.25"/>
    <row r="74" ht="24" customHeight="1" x14ac:dyDescent="0.25"/>
    <row r="75" ht="24" customHeight="1" x14ac:dyDescent="0.25"/>
    <row r="76" ht="24" customHeight="1" x14ac:dyDescent="0.25"/>
    <row r="77" ht="24" customHeight="1" x14ac:dyDescent="0.25"/>
    <row r="78" ht="24" customHeight="1" x14ac:dyDescent="0.25"/>
    <row r="79" ht="24" customHeight="1" x14ac:dyDescent="0.25"/>
    <row r="80" ht="24" customHeight="1" x14ac:dyDescent="0.25"/>
    <row r="81" ht="24" customHeight="1" x14ac:dyDescent="0.25"/>
    <row r="82" ht="24" customHeight="1" x14ac:dyDescent="0.25"/>
    <row r="83" ht="24" customHeight="1" x14ac:dyDescent="0.25"/>
    <row r="84" ht="24" customHeight="1" x14ac:dyDescent="0.25"/>
    <row r="85" ht="24" customHeight="1" x14ac:dyDescent="0.25"/>
    <row r="86" ht="24" customHeight="1" x14ac:dyDescent="0.25"/>
    <row r="87" ht="24" customHeight="1" x14ac:dyDescent="0.25"/>
    <row r="88" ht="24" customHeight="1" x14ac:dyDescent="0.25"/>
    <row r="89" ht="24" customHeight="1" x14ac:dyDescent="0.25"/>
    <row r="90" ht="24" customHeight="1" x14ac:dyDescent="0.25"/>
    <row r="91" ht="24" customHeight="1" x14ac:dyDescent="0.25"/>
    <row r="92" ht="24" customHeight="1" x14ac:dyDescent="0.25"/>
    <row r="93" ht="24" customHeight="1" x14ac:dyDescent="0.25"/>
    <row r="94" ht="24" customHeight="1" x14ac:dyDescent="0.25"/>
    <row r="95" ht="24" customHeight="1" x14ac:dyDescent="0.25"/>
    <row r="96" ht="24" customHeight="1" x14ac:dyDescent="0.25"/>
    <row r="97" ht="24" customHeight="1" x14ac:dyDescent="0.25"/>
    <row r="98" ht="24" customHeight="1" x14ac:dyDescent="0.25"/>
    <row r="99" ht="24" customHeight="1" x14ac:dyDescent="0.25"/>
    <row r="100" ht="24" customHeight="1" x14ac:dyDescent="0.25"/>
    <row r="101" ht="24" customHeight="1" x14ac:dyDescent="0.25"/>
    <row r="102" ht="24" customHeight="1" x14ac:dyDescent="0.25"/>
    <row r="103" ht="24" customHeight="1" x14ac:dyDescent="0.25"/>
    <row r="104" ht="24" customHeight="1" x14ac:dyDescent="0.25"/>
    <row r="105" ht="24" customHeight="1" x14ac:dyDescent="0.25"/>
    <row r="106" ht="24" customHeight="1" x14ac:dyDescent="0.25"/>
    <row r="107" ht="24" customHeight="1" x14ac:dyDescent="0.25"/>
    <row r="108" ht="24" customHeight="1" x14ac:dyDescent="0.25"/>
    <row r="109" ht="24" customHeight="1" x14ac:dyDescent="0.25"/>
    <row r="110" ht="24" customHeight="1" x14ac:dyDescent="0.25"/>
    <row r="111" ht="24" customHeight="1" x14ac:dyDescent="0.25"/>
    <row r="112" ht="24" customHeight="1" x14ac:dyDescent="0.25"/>
    <row r="113" ht="24" customHeight="1" x14ac:dyDescent="0.25"/>
    <row r="114" ht="24" customHeight="1" x14ac:dyDescent="0.25"/>
    <row r="115" ht="24" customHeight="1" x14ac:dyDescent="0.25"/>
    <row r="116" ht="24" customHeight="1" x14ac:dyDescent="0.25"/>
    <row r="117" ht="24" customHeight="1" x14ac:dyDescent="0.25"/>
    <row r="118" ht="24" customHeight="1" x14ac:dyDescent="0.25"/>
    <row r="119" ht="24" customHeight="1" x14ac:dyDescent="0.25"/>
    <row r="120" ht="24" customHeight="1" x14ac:dyDescent="0.25"/>
    <row r="121" ht="24" customHeight="1" x14ac:dyDescent="0.25"/>
    <row r="122" ht="24" customHeight="1" x14ac:dyDescent="0.25"/>
    <row r="123" ht="24" customHeight="1" x14ac:dyDescent="0.25"/>
    <row r="124" ht="24" customHeight="1" x14ac:dyDescent="0.25"/>
    <row r="125" ht="24" customHeight="1" x14ac:dyDescent="0.25"/>
  </sheetData>
  <protectedRanges>
    <protectedRange sqref="F8:G10" name="Q2  Reasons_1_3_1"/>
    <protectedRange sqref="E8:E9" name="Q2  Reasons_1_2_1"/>
    <protectedRange sqref="B8:D8" name="Q2  Reasons_1_1_1"/>
    <protectedRange sqref="B10:E10 E8 B9:D9" name="Q2  Reasons_1_4"/>
    <protectedRange sqref="B11:G12" name="Q2  Reasons_2"/>
    <protectedRange sqref="E3:G4" name="Q2 Sprint Completion_2_1_1"/>
    <protectedRange sqref="E6:G6" name="Q2 Add Ons_1_2"/>
    <protectedRange sqref="B3:D4" name="Q2 Sprint Completion_1_1_1_1"/>
    <protectedRange sqref="B6:D6" name="Q2 Add Ons_1_1_1"/>
    <protectedRange sqref="E14:G18" name="Q2 Support_3_1_2"/>
    <protectedRange sqref="C14:D18" name="Q2 Support_3_1_1_1"/>
    <protectedRange sqref="B14:B18" name="Q2 Support_1_1_1_1"/>
    <protectedRange sqref="E21:G22" name="Q2 Continuous Improvement_2_1_2"/>
    <protectedRange sqref="D21:D22" name="Q2 Continuous Improvement_2_1_1_1"/>
    <protectedRange sqref="C21:C22" name="Q2 Continuous Improvement_1_1_1_1"/>
    <protectedRange sqref="B21:B22" name="Q2 Continuous Improvement_3_1_1"/>
  </protectedRanges>
  <mergeCells count="7">
    <mergeCell ref="A2:I2"/>
    <mergeCell ref="A24:I24"/>
    <mergeCell ref="A7:I7"/>
    <mergeCell ref="A13:I13"/>
    <mergeCell ref="A20:I20"/>
    <mergeCell ref="I14:I15"/>
    <mergeCell ref="I16:I17"/>
  </mergeCells>
  <conditionalFormatting sqref="B8:G8 B11:G12 B9:C10 E9:G10">
    <cfRule type="containsErrors" dxfId="35" priority="32">
      <formula>ISERROR(B8)</formula>
    </cfRule>
  </conditionalFormatting>
  <conditionalFormatting sqref="B19:C19">
    <cfRule type="containsErrors" dxfId="34" priority="28">
      <formula>ISERROR(B19)</formula>
    </cfRule>
  </conditionalFormatting>
  <conditionalFormatting sqref="E6:G6 C5:G5">
    <cfRule type="containsErrors" dxfId="33" priority="12">
      <formula>ISERROR(C5)</formula>
    </cfRule>
  </conditionalFormatting>
  <conditionalFormatting sqref="B8:G8 B11:G12 B9:C10 E9:G10">
    <cfRule type="containsErrors" dxfId="32" priority="18">
      <formula>ISERROR(B8)</formula>
    </cfRule>
  </conditionalFormatting>
  <conditionalFormatting sqref="B6:D6">
    <cfRule type="containsErrors" dxfId="31" priority="10">
      <formula>ISERROR(B6)</formula>
    </cfRule>
  </conditionalFormatting>
  <conditionalFormatting sqref="B6:D6">
    <cfRule type="containsErrors" dxfId="30" priority="9">
      <formula>ISERROR(B6)</formula>
    </cfRule>
  </conditionalFormatting>
  <conditionalFormatting sqref="D9:D10">
    <cfRule type="containsErrors" dxfId="29" priority="14">
      <formula>ISERROR(D9)</formula>
    </cfRule>
  </conditionalFormatting>
  <conditionalFormatting sqref="D9:D10">
    <cfRule type="containsErrors" dxfId="28" priority="13">
      <formula>ISERROR(D9)</formula>
    </cfRule>
  </conditionalFormatting>
  <conditionalFormatting sqref="E6:G6">
    <cfRule type="containsErrors" dxfId="27" priority="11">
      <formula>ISERROR(E6)</formula>
    </cfRule>
  </conditionalFormatting>
  <conditionalFormatting sqref="H5">
    <cfRule type="containsErrors" dxfId="26" priority="8">
      <formula>ISERROR(H5)</formula>
    </cfRule>
  </conditionalFormatting>
  <conditionalFormatting sqref="I5">
    <cfRule type="containsErrors" dxfId="25" priority="7">
      <formula>ISERROR(I5)</formula>
    </cfRule>
  </conditionalFormatting>
  <conditionalFormatting sqref="B5">
    <cfRule type="containsErrors" dxfId="24" priority="6">
      <formula>ISERROR(B5)</formula>
    </cfRule>
  </conditionalFormatting>
  <conditionalFormatting sqref="F19:G19">
    <cfRule type="containsErrors" dxfId="23" priority="5">
      <formula>ISERROR(F19)</formula>
    </cfRule>
  </conditionalFormatting>
  <conditionalFormatting sqref="D19:E19">
    <cfRule type="containsErrors" dxfId="22" priority="4">
      <formula>ISERROR(D19)</formula>
    </cfRule>
  </conditionalFormatting>
  <conditionalFormatting sqref="H19">
    <cfRule type="containsErrors" dxfId="21" priority="3">
      <formula>ISERROR(H19)</formula>
    </cfRule>
  </conditionalFormatting>
  <conditionalFormatting sqref="B23:G23">
    <cfRule type="containsErrors" dxfId="20" priority="2">
      <formula>ISERROR(B23)</formula>
    </cfRule>
  </conditionalFormatting>
  <conditionalFormatting sqref="H23">
    <cfRule type="containsErrors" dxfId="19" priority="1">
      <formula>ISERROR(H23)</formula>
    </cfRule>
  </conditionalFormatting>
  <pageMargins left="0.6" right="0.6" top="0.75" bottom="0.75" header="0.3" footer="0.3"/>
  <pageSetup scale="90"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J55"/>
  <sheetViews>
    <sheetView showGridLines="0" zoomScaleNormal="100" workbookViewId="0">
      <pane ySplit="1" topLeftCell="A2" activePane="bottomLeft" state="frozen"/>
      <selection pane="bottomLeft" activeCell="I5" sqref="I5"/>
    </sheetView>
  </sheetViews>
  <sheetFormatPr defaultRowHeight="15.75" x14ac:dyDescent="0.25"/>
  <cols>
    <col min="1" max="1" width="62.140625" style="1" customWidth="1"/>
    <col min="2" max="10" width="13" style="1" customWidth="1"/>
    <col min="11" max="16384" width="9.140625" style="1"/>
  </cols>
  <sheetData>
    <row r="1" spans="1:10" s="9" customFormat="1" ht="31.5" customHeight="1" x14ac:dyDescent="0.25">
      <c r="A1" s="8" t="s">
        <v>1</v>
      </c>
      <c r="B1" s="11">
        <v>44015</v>
      </c>
      <c r="C1" s="11">
        <v>44029</v>
      </c>
      <c r="D1" s="11">
        <v>44043</v>
      </c>
      <c r="E1" s="11">
        <v>44057</v>
      </c>
      <c r="F1" s="11">
        <v>44071</v>
      </c>
      <c r="G1" s="11">
        <v>44085</v>
      </c>
      <c r="H1" s="11">
        <v>44099</v>
      </c>
      <c r="I1" s="15" t="s">
        <v>22</v>
      </c>
      <c r="J1" s="36" t="s">
        <v>19</v>
      </c>
    </row>
    <row r="2" spans="1:10" ht="24" customHeight="1" x14ac:dyDescent="0.35">
      <c r="A2" s="72" t="s">
        <v>5</v>
      </c>
      <c r="B2" s="73"/>
      <c r="C2" s="73"/>
      <c r="D2" s="73"/>
      <c r="E2" s="73"/>
      <c r="F2" s="73"/>
      <c r="G2" s="73"/>
      <c r="H2" s="73"/>
      <c r="I2" s="73"/>
      <c r="J2" s="74"/>
    </row>
    <row r="3" spans="1:10" ht="24" customHeight="1" x14ac:dyDescent="0.25">
      <c r="A3" s="3" t="s">
        <v>29</v>
      </c>
      <c r="B3" s="25"/>
      <c r="C3" s="25"/>
      <c r="D3" s="25"/>
      <c r="E3" s="25"/>
      <c r="F3" s="25"/>
      <c r="G3" s="25"/>
      <c r="H3" s="25"/>
      <c r="I3" s="19" t="str">
        <f>IF(SUM(B3:H3)&gt;0,SUM(B3:H3),"")</f>
        <v/>
      </c>
      <c r="J3" s="19"/>
    </row>
    <row r="4" spans="1:10" ht="24" customHeight="1" x14ac:dyDescent="0.25">
      <c r="A4" s="2" t="s">
        <v>30</v>
      </c>
      <c r="B4" s="25"/>
      <c r="C4" s="25"/>
      <c r="D4" s="25"/>
      <c r="E4" s="25"/>
      <c r="F4" s="25"/>
      <c r="G4" s="25"/>
      <c r="H4" s="25"/>
      <c r="I4" s="19" t="str">
        <f>IF(SUM(B4:H4)&gt;0,SUM(B4:H4),"")</f>
        <v/>
      </c>
      <c r="J4" s="19"/>
    </row>
    <row r="5" spans="1:10" ht="24" customHeight="1" x14ac:dyDescent="0.25">
      <c r="A5" s="2" t="s">
        <v>3</v>
      </c>
      <c r="B5" s="7" t="e">
        <f t="shared" ref="B5:H5" si="0">IFERROR(B3/(B3+B4),NA())</f>
        <v>#N/A</v>
      </c>
      <c r="C5" s="7" t="e">
        <f>IFERROR(C3/(C3+C4),NA())</f>
        <v>#N/A</v>
      </c>
      <c r="D5" s="7" t="e">
        <f>IFERROR(D3/(D3+D4),NA())</f>
        <v>#N/A</v>
      </c>
      <c r="E5" s="7" t="e">
        <f>IFERROR(E3/(E3+E4),NA())</f>
        <v>#N/A</v>
      </c>
      <c r="F5" s="7" t="e">
        <f t="shared" si="0"/>
        <v>#N/A</v>
      </c>
      <c r="G5" s="7" t="e">
        <f t="shared" si="0"/>
        <v>#N/A</v>
      </c>
      <c r="H5" s="7" t="e">
        <f t="shared" si="0"/>
        <v>#N/A</v>
      </c>
      <c r="I5" s="21" t="e">
        <f>IFERROR(AVERAGEIF(B5:H5,"&gt;-1"),NA())</f>
        <v>#N/A</v>
      </c>
      <c r="J5" s="21" t="e">
        <f>IFERROR(COUNTIF(B5:G5,"=1")/(COUNTIF(B5:G5,"&gt;0")+COUNTIF(B5:G5,0)),NA())</f>
        <v>#N/A</v>
      </c>
    </row>
    <row r="6" spans="1:10" ht="24" customHeight="1" x14ac:dyDescent="0.25">
      <c r="A6" s="2" t="s">
        <v>73</v>
      </c>
      <c r="B6" s="25"/>
      <c r="C6" s="25"/>
      <c r="D6" s="25"/>
      <c r="E6" s="25"/>
      <c r="F6" s="25"/>
      <c r="G6" s="25"/>
      <c r="H6" s="25"/>
      <c r="I6" s="19" t="str">
        <f>IF(SUM(B6:H6)&gt;0,SUM(B6:H6),"")</f>
        <v/>
      </c>
      <c r="J6" s="19"/>
    </row>
    <row r="7" spans="1:10" ht="24" customHeight="1" x14ac:dyDescent="0.35">
      <c r="A7" s="72" t="s">
        <v>7</v>
      </c>
      <c r="B7" s="73"/>
      <c r="C7" s="73"/>
      <c r="D7" s="73"/>
      <c r="E7" s="73"/>
      <c r="F7" s="73"/>
      <c r="G7" s="73"/>
      <c r="H7" s="73"/>
      <c r="I7" s="73"/>
      <c r="J7" s="74"/>
    </row>
    <row r="8" spans="1:10" ht="24" customHeight="1" x14ac:dyDescent="0.25">
      <c r="A8" s="14" t="s">
        <v>9</v>
      </c>
      <c r="B8" s="26"/>
      <c r="C8" s="26"/>
      <c r="D8" s="26"/>
      <c r="E8" s="26"/>
      <c r="F8" s="26"/>
      <c r="G8" s="26"/>
      <c r="H8" s="26"/>
      <c r="I8" s="20">
        <f>COUNTIF(B8:H8, "X")</f>
        <v>0</v>
      </c>
      <c r="J8" s="20"/>
    </row>
    <row r="9" spans="1:10" ht="24" customHeight="1" x14ac:dyDescent="0.25">
      <c r="A9" s="14" t="s">
        <v>13</v>
      </c>
      <c r="B9" s="26"/>
      <c r="C9" s="26"/>
      <c r="D9" s="26"/>
      <c r="E9" s="26"/>
      <c r="F9" s="26"/>
      <c r="G9" s="26"/>
      <c r="H9" s="26"/>
      <c r="I9" s="20">
        <f t="shared" ref="I9:I12" si="1">COUNTIF(B9:H9, "X")</f>
        <v>0</v>
      </c>
      <c r="J9" s="20"/>
    </row>
    <row r="10" spans="1:10" ht="24" customHeight="1" x14ac:dyDescent="0.25">
      <c r="A10" s="14" t="s">
        <v>10</v>
      </c>
      <c r="B10" s="26"/>
      <c r="C10" s="26"/>
      <c r="D10" s="26"/>
      <c r="E10" s="26"/>
      <c r="F10" s="26"/>
      <c r="G10" s="26"/>
      <c r="H10" s="26"/>
      <c r="I10" s="20">
        <f t="shared" si="1"/>
        <v>0</v>
      </c>
      <c r="J10" s="20"/>
    </row>
    <row r="11" spans="1:10" ht="24" customHeight="1" x14ac:dyDescent="0.25">
      <c r="A11" s="14" t="s">
        <v>17</v>
      </c>
      <c r="B11" s="26"/>
      <c r="C11" s="26"/>
      <c r="D11" s="26"/>
      <c r="E11" s="26"/>
      <c r="F11" s="26"/>
      <c r="G11" s="26"/>
      <c r="H11" s="26"/>
      <c r="I11" s="20">
        <f t="shared" si="1"/>
        <v>0</v>
      </c>
      <c r="J11" s="20"/>
    </row>
    <row r="12" spans="1:10" ht="24" customHeight="1" x14ac:dyDescent="0.25">
      <c r="A12" s="14" t="s">
        <v>16</v>
      </c>
      <c r="B12" s="26"/>
      <c r="C12" s="26"/>
      <c r="D12" s="26"/>
      <c r="E12" s="26"/>
      <c r="F12" s="26"/>
      <c r="G12" s="26"/>
      <c r="H12" s="26"/>
      <c r="I12" s="20">
        <f t="shared" si="1"/>
        <v>0</v>
      </c>
      <c r="J12" s="20"/>
    </row>
    <row r="13" spans="1:10" ht="24" customHeight="1" x14ac:dyDescent="0.35">
      <c r="A13" s="72" t="s">
        <v>6</v>
      </c>
      <c r="B13" s="73"/>
      <c r="C13" s="73"/>
      <c r="D13" s="73"/>
      <c r="E13" s="73"/>
      <c r="F13" s="73"/>
      <c r="G13" s="73"/>
      <c r="H13" s="73"/>
      <c r="I13" s="73"/>
      <c r="J13" s="74"/>
    </row>
    <row r="14" spans="1:10" ht="24" customHeight="1" x14ac:dyDescent="0.25">
      <c r="A14" s="2" t="s">
        <v>95</v>
      </c>
      <c r="B14" s="27"/>
      <c r="C14" s="27"/>
      <c r="D14" s="27"/>
      <c r="E14" s="27"/>
      <c r="F14" s="27"/>
      <c r="G14" s="27"/>
      <c r="H14" s="27"/>
      <c r="I14" s="22" t="str">
        <f>IF(SUM(B14:H14)&gt;0,SUM(B14:H14),"")</f>
        <v/>
      </c>
      <c r="J14" s="75" t="s">
        <v>44</v>
      </c>
    </row>
    <row r="15" spans="1:10" ht="24" customHeight="1" x14ac:dyDescent="0.25">
      <c r="A15" s="2" t="s">
        <v>96</v>
      </c>
      <c r="B15" s="27"/>
      <c r="C15" s="27"/>
      <c r="D15" s="27"/>
      <c r="E15" s="27"/>
      <c r="F15" s="27"/>
      <c r="G15" s="27"/>
      <c r="H15" s="27"/>
      <c r="I15" s="22" t="str">
        <f t="shared" ref="I15:I18" si="2">IF(SUM(B15:H15)&gt;0,SUM(B15:H15),"")</f>
        <v/>
      </c>
      <c r="J15" s="76"/>
    </row>
    <row r="16" spans="1:10" ht="24" customHeight="1" x14ac:dyDescent="0.25">
      <c r="A16" s="2" t="s">
        <v>97</v>
      </c>
      <c r="B16" s="27"/>
      <c r="C16" s="27"/>
      <c r="D16" s="27"/>
      <c r="E16" s="27"/>
      <c r="F16" s="27"/>
      <c r="G16" s="27"/>
      <c r="H16" s="27"/>
      <c r="I16" s="22" t="str">
        <f t="shared" si="2"/>
        <v/>
      </c>
      <c r="J16" s="75" t="s">
        <v>45</v>
      </c>
    </row>
    <row r="17" spans="1:10" ht="24" customHeight="1" x14ac:dyDescent="0.25">
      <c r="A17" s="2" t="s">
        <v>98</v>
      </c>
      <c r="B17" s="27"/>
      <c r="C17" s="27"/>
      <c r="D17" s="27"/>
      <c r="E17" s="27"/>
      <c r="F17" s="27"/>
      <c r="G17" s="27"/>
      <c r="H17" s="27"/>
      <c r="I17" s="22" t="str">
        <f t="shared" si="2"/>
        <v/>
      </c>
      <c r="J17" s="76"/>
    </row>
    <row r="18" spans="1:10" ht="24" customHeight="1" x14ac:dyDescent="0.25">
      <c r="A18" s="2" t="s">
        <v>99</v>
      </c>
      <c r="B18" s="27"/>
      <c r="C18" s="27"/>
      <c r="D18" s="27"/>
      <c r="E18" s="27"/>
      <c r="F18" s="27"/>
      <c r="G18" s="27"/>
      <c r="H18" s="27"/>
      <c r="I18" s="22" t="str">
        <f t="shared" si="2"/>
        <v/>
      </c>
      <c r="J18" s="52" t="s">
        <v>46</v>
      </c>
    </row>
    <row r="19" spans="1:10" s="35" customFormat="1" ht="24" customHeight="1" x14ac:dyDescent="0.25">
      <c r="A19" s="30" t="s">
        <v>14</v>
      </c>
      <c r="B19" s="31" t="e">
        <f t="shared" ref="B19" si="3">IF(SUM(B14:B18)&gt;0,SUM(B16+B18)/SUM(B14:B18),NA())</f>
        <v>#N/A</v>
      </c>
      <c r="C19" s="31" t="e">
        <f t="shared" ref="C19:H19" si="4">IF(SUM(C14:C18)&gt;0,SUM(C16+C18)/SUM(C14:C18),NA())</f>
        <v>#N/A</v>
      </c>
      <c r="D19" s="31" t="e">
        <f t="shared" si="4"/>
        <v>#N/A</v>
      </c>
      <c r="E19" s="31" t="e">
        <f t="shared" si="4"/>
        <v>#N/A</v>
      </c>
      <c r="F19" s="31" t="e">
        <f t="shared" si="4"/>
        <v>#N/A</v>
      </c>
      <c r="G19" s="31" t="e">
        <f t="shared" si="4"/>
        <v>#N/A</v>
      </c>
      <c r="H19" s="31" t="e">
        <f t="shared" si="4"/>
        <v>#N/A</v>
      </c>
      <c r="I19" s="32" t="e">
        <f>IFERROR(AVERAGEIF(B19:H19,"&gt;-1"),NA())</f>
        <v>#N/A</v>
      </c>
      <c r="J19" s="33"/>
    </row>
    <row r="20" spans="1:10" ht="24" customHeight="1" x14ac:dyDescent="0.35">
      <c r="A20" s="72" t="s">
        <v>2</v>
      </c>
      <c r="B20" s="73"/>
      <c r="C20" s="73"/>
      <c r="D20" s="73"/>
      <c r="E20" s="73"/>
      <c r="F20" s="73"/>
      <c r="G20" s="73"/>
      <c r="H20" s="73"/>
      <c r="I20" s="73"/>
      <c r="J20" s="74"/>
    </row>
    <row r="21" spans="1:10" ht="24" customHeight="1" x14ac:dyDescent="0.25">
      <c r="A21" s="2" t="s">
        <v>0</v>
      </c>
      <c r="B21" s="25"/>
      <c r="C21" s="25"/>
      <c r="D21" s="25"/>
      <c r="E21" s="25"/>
      <c r="F21" s="25"/>
      <c r="G21" s="25"/>
      <c r="H21" s="25"/>
      <c r="I21" s="19" t="str">
        <f>IF(SUM(B21:H21)&gt;0,SUM(B21:H21),"")</f>
        <v/>
      </c>
      <c r="J21" s="28"/>
    </row>
    <row r="22" spans="1:10" ht="24" customHeight="1" x14ac:dyDescent="0.25">
      <c r="A22" s="2" t="s">
        <v>8</v>
      </c>
      <c r="B22" s="25"/>
      <c r="C22" s="25"/>
      <c r="D22" s="25"/>
      <c r="E22" s="25"/>
      <c r="F22" s="25"/>
      <c r="G22" s="25"/>
      <c r="H22" s="25"/>
      <c r="I22" s="19" t="str">
        <f>IF(SUM(B22:H22)&gt;0,SUM(B22:H22),"")</f>
        <v/>
      </c>
      <c r="J22" s="28"/>
    </row>
    <row r="23" spans="1:10" ht="24" customHeight="1" x14ac:dyDescent="0.25">
      <c r="A23" s="2" t="s">
        <v>4</v>
      </c>
      <c r="B23" s="7"/>
      <c r="C23" s="7"/>
      <c r="D23" s="7"/>
      <c r="E23" s="7" t="e">
        <f t="shared" ref="E23:H23" si="5">IFERROR(E21/(E21+E22),NA())</f>
        <v>#N/A</v>
      </c>
      <c r="F23" s="7" t="e">
        <f t="shared" si="5"/>
        <v>#N/A</v>
      </c>
      <c r="G23" s="7" t="e">
        <f t="shared" si="5"/>
        <v>#N/A</v>
      </c>
      <c r="H23" s="7" t="e">
        <f t="shared" si="5"/>
        <v>#N/A</v>
      </c>
      <c r="I23" s="21" t="e">
        <f>IFERROR(AVERAGEIF(B23:H23,"&gt;-1"),NA())</f>
        <v>#N/A</v>
      </c>
      <c r="J23" s="29"/>
    </row>
    <row r="24" spans="1:10" ht="24" customHeight="1" x14ac:dyDescent="0.25">
      <c r="A24" s="77" t="s">
        <v>100</v>
      </c>
      <c r="B24" s="78"/>
      <c r="C24" s="78"/>
      <c r="D24" s="78"/>
      <c r="E24" s="78"/>
      <c r="F24" s="78"/>
      <c r="G24" s="78"/>
      <c r="H24" s="78"/>
      <c r="I24" s="78"/>
      <c r="J24" s="79"/>
    </row>
    <row r="25" spans="1:10" ht="24" hidden="1" customHeight="1" x14ac:dyDescent="0.25">
      <c r="A25" s="66" t="str">
        <f>IF(EXACT(SUM(SUMIF(I3,"&gt;0")+SUMIF(I6,"&gt;0")),SUM(I14:I18)),"","Please ensure rows 3 and 6 equal rows 14 through 18.")</f>
        <v/>
      </c>
    </row>
    <row r="26" spans="1:10" ht="24" customHeight="1" x14ac:dyDescent="0.25"/>
    <row r="27" spans="1:10" ht="24" customHeight="1" x14ac:dyDescent="0.25"/>
    <row r="28" spans="1:10" ht="24" customHeight="1" x14ac:dyDescent="0.25"/>
    <row r="29" spans="1:10" ht="24" customHeight="1" x14ac:dyDescent="0.25"/>
    <row r="30" spans="1:10" ht="24" customHeight="1" x14ac:dyDescent="0.25"/>
    <row r="31" spans="1:10" ht="24" customHeight="1" x14ac:dyDescent="0.25"/>
    <row r="32" spans="1:10" ht="24" customHeight="1" x14ac:dyDescent="0.25"/>
    <row r="33" ht="24" customHeight="1" x14ac:dyDescent="0.25"/>
    <row r="34" ht="24" customHeight="1" x14ac:dyDescent="0.25"/>
    <row r="35" ht="24" customHeight="1" x14ac:dyDescent="0.25"/>
    <row r="36" ht="24" customHeight="1" x14ac:dyDescent="0.25"/>
    <row r="37" ht="24" customHeight="1" x14ac:dyDescent="0.25"/>
    <row r="38" ht="24" customHeight="1" x14ac:dyDescent="0.25"/>
    <row r="39" ht="24" customHeight="1" x14ac:dyDescent="0.25"/>
    <row r="40" ht="24" customHeight="1" x14ac:dyDescent="0.25"/>
    <row r="41" ht="24" customHeight="1" x14ac:dyDescent="0.25"/>
    <row r="42" ht="24" customHeight="1" x14ac:dyDescent="0.25"/>
    <row r="43" ht="24" customHeight="1" x14ac:dyDescent="0.25"/>
    <row r="44" ht="24" customHeight="1" x14ac:dyDescent="0.25"/>
    <row r="45" ht="24" customHeight="1" x14ac:dyDescent="0.25"/>
    <row r="46" ht="24" customHeight="1" x14ac:dyDescent="0.25"/>
    <row r="47" ht="24" customHeight="1" x14ac:dyDescent="0.25"/>
    <row r="48" ht="24" customHeight="1" x14ac:dyDescent="0.25"/>
    <row r="49" ht="24" customHeight="1" x14ac:dyDescent="0.25"/>
    <row r="50" ht="24" customHeight="1" x14ac:dyDescent="0.25"/>
    <row r="51" ht="24" customHeight="1" x14ac:dyDescent="0.25"/>
    <row r="52" ht="24" customHeight="1" x14ac:dyDescent="0.25"/>
    <row r="53" ht="24" customHeight="1" x14ac:dyDescent="0.25"/>
    <row r="54" ht="24" customHeight="1" x14ac:dyDescent="0.25"/>
    <row r="55" ht="24" customHeight="1" x14ac:dyDescent="0.25"/>
  </sheetData>
  <protectedRanges>
    <protectedRange sqref="H4" name="Q3 Sprint Completion_1"/>
    <protectedRange sqref="H8:H12" name="Q3 Reasons_1"/>
    <protectedRange sqref="B14:H18" name="Q3 Support_1"/>
    <protectedRange sqref="B21:H22" name="Q3 Continuous Improvements_1"/>
    <protectedRange sqref="H3" name="Q2 Sprint Completion_2_1"/>
    <protectedRange sqref="E6:H6" name="Q2 Add Ons_1"/>
    <protectedRange sqref="B6:D6" name="Q2 Add Ons_1_1"/>
    <protectedRange sqref="B4:G4" name="Q3 Sprint Completion_1_1"/>
    <protectedRange sqref="E3:G3" name="Q2 Sprint Completion_2_1_1"/>
    <protectedRange sqref="B3:D3" name="Q2 Sprint Completion_1_1_1_1"/>
    <protectedRange sqref="B8:G12" name="Q3 Reasons_1_1"/>
  </protectedRanges>
  <mergeCells count="7">
    <mergeCell ref="A20:J20"/>
    <mergeCell ref="A24:J24"/>
    <mergeCell ref="J14:J15"/>
    <mergeCell ref="J16:J17"/>
    <mergeCell ref="A2:J2"/>
    <mergeCell ref="A7:J7"/>
    <mergeCell ref="A13:J13"/>
  </mergeCells>
  <conditionalFormatting sqref="H8:H12 B5:H5 B23:H23">
    <cfRule type="containsErrors" dxfId="18" priority="13">
      <formula>ISERROR(B5)</formula>
    </cfRule>
  </conditionalFormatting>
  <conditionalFormatting sqref="I5:J5 I23">
    <cfRule type="containsErrors" dxfId="17" priority="11">
      <formula>ISERROR(I5)</formula>
    </cfRule>
  </conditionalFormatting>
  <conditionalFormatting sqref="B19:I19">
    <cfRule type="containsErrors" dxfId="16" priority="9">
      <formula>ISERROR(B19)</formula>
    </cfRule>
  </conditionalFormatting>
  <conditionalFormatting sqref="H8:H12">
    <cfRule type="containsErrors" dxfId="15" priority="7">
      <formula>ISERROR(H8)</formula>
    </cfRule>
  </conditionalFormatting>
  <conditionalFormatting sqref="E6:H6">
    <cfRule type="containsErrors" dxfId="14" priority="6">
      <formula>ISERROR(E6)</formula>
    </cfRule>
  </conditionalFormatting>
  <conditionalFormatting sqref="E6:H6">
    <cfRule type="containsErrors" dxfId="13" priority="5">
      <formula>ISERROR(E6)</formula>
    </cfRule>
  </conditionalFormatting>
  <conditionalFormatting sqref="B6:D6">
    <cfRule type="containsErrors" dxfId="12" priority="4">
      <formula>ISERROR(B6)</formula>
    </cfRule>
  </conditionalFormatting>
  <conditionalFormatting sqref="B6:D6">
    <cfRule type="containsErrors" dxfId="11" priority="3">
      <formula>ISERROR(B6)</formula>
    </cfRule>
  </conditionalFormatting>
  <conditionalFormatting sqref="B8:G12">
    <cfRule type="containsErrors" dxfId="10" priority="2">
      <formula>ISERROR(B8)</formula>
    </cfRule>
  </conditionalFormatting>
  <conditionalFormatting sqref="B8:G12">
    <cfRule type="containsErrors" dxfId="9" priority="1">
      <formula>ISERROR(B8)</formula>
    </cfRule>
  </conditionalFormatting>
  <pageMargins left="0.6" right="0.6" top="0.75" bottom="0.75" header="0.3" footer="0.3"/>
  <pageSetup scale="9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I48"/>
  <sheetViews>
    <sheetView showGridLines="0" zoomScaleNormal="100" workbookViewId="0">
      <pane ySplit="1" topLeftCell="A2" activePane="bottomLeft" state="frozen"/>
      <selection pane="bottomLeft" activeCell="B21" sqref="B21:C23"/>
    </sheetView>
  </sheetViews>
  <sheetFormatPr defaultRowHeight="15.75" x14ac:dyDescent="0.25"/>
  <cols>
    <col min="1" max="1" width="62.140625" style="1" customWidth="1"/>
    <col min="2" max="9" width="13" style="1" customWidth="1"/>
    <col min="10" max="16384" width="9.140625" style="1"/>
  </cols>
  <sheetData>
    <row r="1" spans="1:9" s="9" customFormat="1" ht="31.5" customHeight="1" x14ac:dyDescent="0.25">
      <c r="A1" s="8" t="s">
        <v>1</v>
      </c>
      <c r="B1" s="11">
        <v>44113</v>
      </c>
      <c r="C1" s="11">
        <v>44127</v>
      </c>
      <c r="D1" s="11">
        <v>44141</v>
      </c>
      <c r="E1" s="11">
        <v>44155</v>
      </c>
      <c r="F1" s="11">
        <v>44169</v>
      </c>
      <c r="G1" s="11">
        <v>44183</v>
      </c>
      <c r="H1" s="15" t="s">
        <v>24</v>
      </c>
      <c r="I1" s="36" t="s">
        <v>20</v>
      </c>
    </row>
    <row r="2" spans="1:9" ht="24" customHeight="1" x14ac:dyDescent="0.35">
      <c r="A2" s="72" t="s">
        <v>5</v>
      </c>
      <c r="B2" s="73"/>
      <c r="C2" s="73"/>
      <c r="D2" s="73"/>
      <c r="E2" s="73"/>
      <c r="F2" s="73"/>
      <c r="G2" s="73"/>
      <c r="H2" s="73"/>
      <c r="I2" s="74"/>
    </row>
    <row r="3" spans="1:9" ht="24" customHeight="1" x14ac:dyDescent="0.25">
      <c r="A3" s="3" t="s">
        <v>29</v>
      </c>
      <c r="B3" s="25"/>
      <c r="C3" s="25"/>
      <c r="D3" s="25"/>
      <c r="E3" s="25"/>
      <c r="F3" s="25"/>
      <c r="G3" s="25"/>
      <c r="H3" s="19" t="str">
        <f>IF(SUM(B3:G3)&gt;0,SUM(B3:G3),"")</f>
        <v/>
      </c>
      <c r="I3" s="19"/>
    </row>
    <row r="4" spans="1:9" ht="24" customHeight="1" x14ac:dyDescent="0.25">
      <c r="A4" s="2" t="s">
        <v>30</v>
      </c>
      <c r="B4" s="25"/>
      <c r="C4" s="25"/>
      <c r="D4" s="25"/>
      <c r="E4" s="25"/>
      <c r="F4" s="25"/>
      <c r="G4" s="25"/>
      <c r="H4" s="19" t="str">
        <f t="shared" ref="H4:H6" si="0">IF(SUM(B4:G4)&gt;0,SUM(B4:G4),"")</f>
        <v/>
      </c>
      <c r="I4" s="19"/>
    </row>
    <row r="5" spans="1:9" ht="24" customHeight="1" x14ac:dyDescent="0.25">
      <c r="A5" s="2" t="s">
        <v>3</v>
      </c>
      <c r="B5" s="7"/>
      <c r="C5" s="7"/>
      <c r="D5" s="7" t="e">
        <f t="shared" ref="D5:G5" si="1">IFERROR(D3/(D3+D4),NA())</f>
        <v>#N/A</v>
      </c>
      <c r="E5" s="7" t="e">
        <f t="shared" si="1"/>
        <v>#N/A</v>
      </c>
      <c r="F5" s="7" t="e">
        <f t="shared" si="1"/>
        <v>#N/A</v>
      </c>
      <c r="G5" s="7" t="e">
        <f t="shared" si="1"/>
        <v>#N/A</v>
      </c>
      <c r="H5" s="21" t="e">
        <f>IFERROR(AVERAGEIF(B5:G5,"&gt;-1"),NA())</f>
        <v>#N/A</v>
      </c>
      <c r="I5" s="21" t="e">
        <f>IFERROR(COUNTIF(B5:G5,"=1")/(COUNTIF(B5:G5,"&gt;0")+COUNTIF(B5:G5,0)),NA())</f>
        <v>#N/A</v>
      </c>
    </row>
    <row r="6" spans="1:9" ht="24" customHeight="1" x14ac:dyDescent="0.25">
      <c r="A6" s="2" t="s">
        <v>73</v>
      </c>
      <c r="B6" s="25"/>
      <c r="C6" s="25"/>
      <c r="D6" s="25"/>
      <c r="E6" s="25"/>
      <c r="F6" s="25"/>
      <c r="G6" s="25"/>
      <c r="H6" s="19" t="str">
        <f t="shared" si="0"/>
        <v/>
      </c>
      <c r="I6" s="19"/>
    </row>
    <row r="7" spans="1:9" ht="24" customHeight="1" x14ac:dyDescent="0.35">
      <c r="A7" s="72" t="s">
        <v>7</v>
      </c>
      <c r="B7" s="73"/>
      <c r="C7" s="73"/>
      <c r="D7" s="73"/>
      <c r="E7" s="73"/>
      <c r="F7" s="73"/>
      <c r="G7" s="73"/>
      <c r="H7" s="73"/>
      <c r="I7" s="74"/>
    </row>
    <row r="8" spans="1:9" ht="24" customHeight="1" x14ac:dyDescent="0.25">
      <c r="A8" s="14" t="s">
        <v>9</v>
      </c>
      <c r="B8" s="26"/>
      <c r="C8" s="26"/>
      <c r="D8" s="26"/>
      <c r="E8" s="26"/>
      <c r="F8" s="26"/>
      <c r="G8" s="26"/>
      <c r="H8" s="20">
        <f>COUNTIF(B8:G8, "X")</f>
        <v>0</v>
      </c>
      <c r="I8" s="20"/>
    </row>
    <row r="9" spans="1:9" ht="24" customHeight="1" x14ac:dyDescent="0.25">
      <c r="A9" s="14" t="s">
        <v>13</v>
      </c>
      <c r="B9" s="26"/>
      <c r="C9" s="26"/>
      <c r="D9" s="26"/>
      <c r="E9" s="26"/>
      <c r="F9" s="26"/>
      <c r="G9" s="26"/>
      <c r="H9" s="20">
        <f>COUNTIF(B9:G9, "X")</f>
        <v>0</v>
      </c>
      <c r="I9" s="20"/>
    </row>
    <row r="10" spans="1:9" ht="24" customHeight="1" x14ac:dyDescent="0.25">
      <c r="A10" s="14" t="s">
        <v>10</v>
      </c>
      <c r="B10" s="26"/>
      <c r="C10" s="26"/>
      <c r="D10" s="26"/>
      <c r="E10" s="26"/>
      <c r="F10" s="26"/>
      <c r="G10" s="26"/>
      <c r="H10" s="20">
        <f>COUNTIF(B10:G10, "X")</f>
        <v>0</v>
      </c>
      <c r="I10" s="20"/>
    </row>
    <row r="11" spans="1:9" ht="24" customHeight="1" x14ac:dyDescent="0.25">
      <c r="A11" s="14" t="s">
        <v>17</v>
      </c>
      <c r="B11" s="26"/>
      <c r="C11" s="26"/>
      <c r="D11" s="26"/>
      <c r="E11" s="26"/>
      <c r="F11" s="26"/>
      <c r="G11" s="26"/>
      <c r="H11" s="20">
        <f>COUNTIF(B11:G11, "X")</f>
        <v>0</v>
      </c>
      <c r="I11" s="20"/>
    </row>
    <row r="12" spans="1:9" ht="24" customHeight="1" x14ac:dyDescent="0.25">
      <c r="A12" s="14" t="s">
        <v>16</v>
      </c>
      <c r="B12" s="26"/>
      <c r="C12" s="26"/>
      <c r="D12" s="26"/>
      <c r="E12" s="26"/>
      <c r="F12" s="26"/>
      <c r="G12" s="26"/>
      <c r="H12" s="20">
        <f>COUNTIF(B12:G12, "X")</f>
        <v>0</v>
      </c>
      <c r="I12" s="20"/>
    </row>
    <row r="13" spans="1:9" ht="24" customHeight="1" x14ac:dyDescent="0.35">
      <c r="A13" s="72" t="s">
        <v>6</v>
      </c>
      <c r="B13" s="73"/>
      <c r="C13" s="73"/>
      <c r="D13" s="73"/>
      <c r="E13" s="73"/>
      <c r="F13" s="73"/>
      <c r="G13" s="73"/>
      <c r="H13" s="73"/>
      <c r="I13" s="74"/>
    </row>
    <row r="14" spans="1:9" ht="24" customHeight="1" x14ac:dyDescent="0.25">
      <c r="A14" s="2" t="s">
        <v>95</v>
      </c>
      <c r="B14" s="25"/>
      <c r="C14" s="25"/>
      <c r="D14" s="25"/>
      <c r="E14" s="25"/>
      <c r="F14" s="25"/>
      <c r="G14" s="25"/>
      <c r="H14" s="22" t="str">
        <f>IF(SUM(B14:G14)&gt;0,SUM(B14:G14),"")</f>
        <v/>
      </c>
      <c r="I14" s="75" t="s">
        <v>44</v>
      </c>
    </row>
    <row r="15" spans="1:9" ht="24" customHeight="1" x14ac:dyDescent="0.25">
      <c r="A15" s="2" t="s">
        <v>96</v>
      </c>
      <c r="B15" s="27"/>
      <c r="C15" s="27"/>
      <c r="D15" s="27"/>
      <c r="E15" s="27"/>
      <c r="F15" s="27"/>
      <c r="G15" s="27"/>
      <c r="H15" s="22" t="str">
        <f t="shared" ref="H15:H18" si="2">IF(SUM(B15:G15)&gt;0,SUM(B15:G15),"")</f>
        <v/>
      </c>
      <c r="I15" s="76"/>
    </row>
    <row r="16" spans="1:9" ht="24" customHeight="1" x14ac:dyDescent="0.25">
      <c r="A16" s="2" t="s">
        <v>97</v>
      </c>
      <c r="B16" s="25"/>
      <c r="C16" s="25"/>
      <c r="D16" s="25"/>
      <c r="E16" s="25"/>
      <c r="F16" s="25"/>
      <c r="G16" s="25"/>
      <c r="H16" s="22" t="str">
        <f t="shared" si="2"/>
        <v/>
      </c>
      <c r="I16" s="75" t="s">
        <v>45</v>
      </c>
    </row>
    <row r="17" spans="1:9" ht="24" customHeight="1" x14ac:dyDescent="0.25">
      <c r="A17" s="2" t="s">
        <v>98</v>
      </c>
      <c r="B17" s="27"/>
      <c r="C17" s="27"/>
      <c r="D17" s="27"/>
      <c r="E17" s="27"/>
      <c r="F17" s="27"/>
      <c r="G17" s="27"/>
      <c r="H17" s="22" t="str">
        <f t="shared" si="2"/>
        <v/>
      </c>
      <c r="I17" s="76"/>
    </row>
    <row r="18" spans="1:9" ht="24" customHeight="1" x14ac:dyDescent="0.25">
      <c r="A18" s="2" t="s">
        <v>99</v>
      </c>
      <c r="B18" s="27"/>
      <c r="C18" s="27"/>
      <c r="D18" s="27"/>
      <c r="E18" s="27"/>
      <c r="F18" s="27"/>
      <c r="G18" s="27"/>
      <c r="H18" s="22" t="str">
        <f t="shared" si="2"/>
        <v/>
      </c>
      <c r="I18" s="52" t="s">
        <v>46</v>
      </c>
    </row>
    <row r="19" spans="1:9" s="35" customFormat="1" ht="24" customHeight="1" x14ac:dyDescent="0.25">
      <c r="A19" s="30" t="s">
        <v>14</v>
      </c>
      <c r="B19" s="31" t="e">
        <f t="shared" ref="B19" si="3">IF(SUM(B14:B18)&gt;0,SUM(B16+B18)/SUM(B14:B18),NA())</f>
        <v>#N/A</v>
      </c>
      <c r="C19" s="31" t="e">
        <f t="shared" ref="C19:G19" si="4">IF(SUM(C14:C18)&gt;0,SUM(C16+C18)/SUM(C14:C18),NA())</f>
        <v>#N/A</v>
      </c>
      <c r="D19" s="31" t="e">
        <f t="shared" si="4"/>
        <v>#N/A</v>
      </c>
      <c r="E19" s="31" t="e">
        <f t="shared" si="4"/>
        <v>#N/A</v>
      </c>
      <c r="F19" s="31" t="e">
        <f t="shared" si="4"/>
        <v>#N/A</v>
      </c>
      <c r="G19" s="31" t="e">
        <f t="shared" si="4"/>
        <v>#N/A</v>
      </c>
      <c r="H19" s="32" t="e">
        <f>IFERROR(AVERAGEIF(B19:G19,"&gt;-1"),NA())</f>
        <v>#N/A</v>
      </c>
      <c r="I19" s="33"/>
    </row>
    <row r="20" spans="1:9" ht="24" customHeight="1" x14ac:dyDescent="0.35">
      <c r="A20" s="72" t="s">
        <v>2</v>
      </c>
      <c r="B20" s="73"/>
      <c r="C20" s="73"/>
      <c r="D20" s="73"/>
      <c r="E20" s="73"/>
      <c r="F20" s="73"/>
      <c r="G20" s="73"/>
      <c r="H20" s="73"/>
      <c r="I20" s="74"/>
    </row>
    <row r="21" spans="1:9" ht="24" customHeight="1" x14ac:dyDescent="0.25">
      <c r="A21" s="2" t="s">
        <v>0</v>
      </c>
      <c r="B21" s="25"/>
      <c r="C21" s="25"/>
      <c r="D21" s="25"/>
      <c r="E21" s="25"/>
      <c r="F21" s="25"/>
      <c r="G21" s="25"/>
      <c r="H21" s="19" t="str">
        <f>IF(SUM(B21:G21)&gt;0,SUM(B21:G21),"")</f>
        <v/>
      </c>
      <c r="I21" s="28"/>
    </row>
    <row r="22" spans="1:9" ht="24" customHeight="1" x14ac:dyDescent="0.25">
      <c r="A22" s="2" t="s">
        <v>8</v>
      </c>
      <c r="B22" s="25"/>
      <c r="C22" s="25"/>
      <c r="D22" s="25"/>
      <c r="E22" s="25"/>
      <c r="F22" s="25"/>
      <c r="G22" s="25"/>
      <c r="H22" s="19" t="str">
        <f>IF(SUM(B22:G22)&gt;0,SUM(B22:G22),"")</f>
        <v/>
      </c>
      <c r="I22" s="28"/>
    </row>
    <row r="23" spans="1:9" ht="24" customHeight="1" x14ac:dyDescent="0.25">
      <c r="A23" s="2" t="s">
        <v>4</v>
      </c>
      <c r="B23" s="7"/>
      <c r="C23" s="7"/>
      <c r="D23" s="7" t="e">
        <f t="shared" ref="D23:G23" si="5">IFERROR(D21/(D21+D22),NA())</f>
        <v>#N/A</v>
      </c>
      <c r="E23" s="7" t="e">
        <f t="shared" si="5"/>
        <v>#N/A</v>
      </c>
      <c r="F23" s="7" t="e">
        <f t="shared" si="5"/>
        <v>#N/A</v>
      </c>
      <c r="G23" s="7" t="e">
        <f t="shared" si="5"/>
        <v>#N/A</v>
      </c>
      <c r="H23" s="21" t="e">
        <f>IFERROR(AVERAGEIF(B23:G23,"&gt;-1"),NA())</f>
        <v>#N/A</v>
      </c>
      <c r="I23" s="29"/>
    </row>
    <row r="24" spans="1:9" ht="24" customHeight="1" x14ac:dyDescent="0.25">
      <c r="A24" s="77" t="s">
        <v>100</v>
      </c>
      <c r="B24" s="78"/>
      <c r="C24" s="78"/>
      <c r="D24" s="78"/>
      <c r="E24" s="78"/>
      <c r="F24" s="78"/>
      <c r="G24" s="78"/>
      <c r="H24" s="78"/>
      <c r="I24" s="79"/>
    </row>
    <row r="25" spans="1:9" ht="24" hidden="1" customHeight="1" x14ac:dyDescent="0.25">
      <c r="A25" s="66" t="str">
        <f>IF(EXACT(SUM(SUMIF(H3,"&gt;0")+SUMIF(H6,"&gt;0")),SUM(H14:H18)),"","Please ensure rows 3 and 6 equal rows 14 through 18.")</f>
        <v/>
      </c>
    </row>
    <row r="26" spans="1:9" ht="24" customHeight="1" x14ac:dyDescent="0.25"/>
    <row r="27" spans="1:9" ht="24" customHeight="1" x14ac:dyDescent="0.25"/>
    <row r="28" spans="1:9" ht="24" customHeight="1" x14ac:dyDescent="0.25"/>
    <row r="29" spans="1:9" ht="24" customHeight="1" x14ac:dyDescent="0.25"/>
    <row r="30" spans="1:9" ht="24" customHeight="1" x14ac:dyDescent="0.25"/>
    <row r="31" spans="1:9" ht="24" customHeight="1" x14ac:dyDescent="0.25"/>
    <row r="32" spans="1:9" ht="24" customHeight="1" x14ac:dyDescent="0.25"/>
    <row r="33" ht="24" customHeight="1" x14ac:dyDescent="0.25"/>
    <row r="34" ht="24" customHeight="1" x14ac:dyDescent="0.25"/>
    <row r="35" ht="24" customHeight="1" x14ac:dyDescent="0.25"/>
    <row r="36" ht="24" customHeight="1" x14ac:dyDescent="0.25"/>
    <row r="37" ht="24" customHeight="1" x14ac:dyDescent="0.25"/>
    <row r="38" ht="24" customHeight="1" x14ac:dyDescent="0.25"/>
    <row r="39" ht="24" customHeight="1" x14ac:dyDescent="0.25"/>
    <row r="40" ht="24" customHeight="1" x14ac:dyDescent="0.25"/>
    <row r="41" ht="24" customHeight="1" x14ac:dyDescent="0.25"/>
    <row r="42" ht="24" customHeight="1" x14ac:dyDescent="0.25"/>
    <row r="43" ht="24" customHeight="1" x14ac:dyDescent="0.25"/>
    <row r="44" ht="24" customHeight="1" x14ac:dyDescent="0.25"/>
    <row r="45" ht="24" customHeight="1" x14ac:dyDescent="0.25"/>
    <row r="46" ht="24" customHeight="1" x14ac:dyDescent="0.25"/>
    <row r="47" ht="24" customHeight="1" x14ac:dyDescent="0.25"/>
    <row r="48" ht="24" customHeight="1" x14ac:dyDescent="0.25"/>
  </sheetData>
  <protectedRanges>
    <protectedRange sqref="B6:G6" name="Q4 Add Ons_1"/>
    <protectedRange sqref="B11:C12 G8:G12" name="Q4 Reasons_1"/>
    <protectedRange sqref="E21:G22" name="Q4 Continuous Improvement_1"/>
    <protectedRange sqref="B3:C4" name="Q4 Sprint Completion_1_2"/>
    <protectedRange sqref="D3:G4" name="Q4 Sprint Completion_1_3"/>
    <protectedRange sqref="B8:C10" name="Q4 Reasons_1_1"/>
    <protectedRange sqref="D8:F12" name="Q4 Reasons_1_2"/>
    <protectedRange sqref="B14:G18" name="Q4 Support_1_1"/>
    <protectedRange sqref="B21:D22" name="Q4 Continuous Improvement_1_1"/>
  </protectedRanges>
  <mergeCells count="7">
    <mergeCell ref="A20:I20"/>
    <mergeCell ref="A24:I24"/>
    <mergeCell ref="I14:I15"/>
    <mergeCell ref="I16:I17"/>
    <mergeCell ref="A2:I2"/>
    <mergeCell ref="A7:I7"/>
    <mergeCell ref="A13:I13"/>
  </mergeCells>
  <conditionalFormatting sqref="B5:G5 B23:G23 B11:C12 G8:G12">
    <cfRule type="containsErrors" dxfId="8" priority="12">
      <formula>ISERROR(B5)</formula>
    </cfRule>
  </conditionalFormatting>
  <conditionalFormatting sqref="I5 H23">
    <cfRule type="containsErrors" dxfId="7" priority="10">
      <formula>ISERROR(H5)</formula>
    </cfRule>
  </conditionalFormatting>
  <conditionalFormatting sqref="B19:H19">
    <cfRule type="containsErrors" dxfId="6" priority="9">
      <formula>ISERROR(B19)</formula>
    </cfRule>
  </conditionalFormatting>
  <conditionalFormatting sqref="B11:C12 G8:G12">
    <cfRule type="containsErrors" dxfId="5" priority="6">
      <formula>ISERROR(B8)</formula>
    </cfRule>
  </conditionalFormatting>
  <conditionalFormatting sqref="B8:C10">
    <cfRule type="containsErrors" dxfId="4" priority="5">
      <formula>ISERROR(B8)</formula>
    </cfRule>
  </conditionalFormatting>
  <conditionalFormatting sqref="B8:C10">
    <cfRule type="containsErrors" dxfId="3" priority="4">
      <formula>ISERROR(B8)</formula>
    </cfRule>
  </conditionalFormatting>
  <conditionalFormatting sqref="D8:F12">
    <cfRule type="containsErrors" dxfId="2" priority="3">
      <formula>ISERROR(D8)</formula>
    </cfRule>
  </conditionalFormatting>
  <conditionalFormatting sqref="D8:F12">
    <cfRule type="containsErrors" dxfId="1" priority="2">
      <formula>ISERROR(D8)</formula>
    </cfRule>
  </conditionalFormatting>
  <conditionalFormatting sqref="H3:H6">
    <cfRule type="containsErrors" dxfId="0" priority="1">
      <formula>ISERROR(H3)</formula>
    </cfRule>
  </conditionalFormatting>
  <pageMargins left="0.6" right="0.6" top="0.75" bottom="0.75" header="0.3" footer="0.3"/>
  <pageSetup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pageSetUpPr fitToPage="1"/>
  </sheetPr>
  <dimension ref="A1:B31"/>
  <sheetViews>
    <sheetView showGridLines="0" workbookViewId="0">
      <pane ySplit="1" topLeftCell="A2" activePane="bottomLeft" state="frozen"/>
      <selection activeCell="E18" sqref="E18"/>
      <selection pane="bottomLeft" activeCell="A2" sqref="A2:A27"/>
    </sheetView>
  </sheetViews>
  <sheetFormatPr defaultRowHeight="15" x14ac:dyDescent="0.25"/>
  <cols>
    <col min="1" max="1" width="19.5703125" customWidth="1"/>
    <col min="2" max="2" width="120" style="10" customWidth="1"/>
  </cols>
  <sheetData>
    <row r="1" spans="1:2" ht="42" x14ac:dyDescent="0.35">
      <c r="A1" s="13" t="s">
        <v>11</v>
      </c>
      <c r="B1" s="13" t="s">
        <v>12</v>
      </c>
    </row>
    <row r="2" spans="1:2" ht="38.25" customHeight="1" x14ac:dyDescent="0.25">
      <c r="A2" s="64">
        <v>43833</v>
      </c>
      <c r="B2" s="12"/>
    </row>
    <row r="3" spans="1:2" ht="38.25" customHeight="1" x14ac:dyDescent="0.25">
      <c r="A3" s="64">
        <v>43847</v>
      </c>
      <c r="B3" s="12"/>
    </row>
    <row r="4" spans="1:2" ht="38.25" customHeight="1" x14ac:dyDescent="0.25">
      <c r="A4" s="64">
        <v>43861</v>
      </c>
      <c r="B4" s="12"/>
    </row>
    <row r="5" spans="1:2" ht="38.25" customHeight="1" x14ac:dyDescent="0.25">
      <c r="A5" s="64">
        <v>43875</v>
      </c>
      <c r="B5" s="40"/>
    </row>
    <row r="6" spans="1:2" ht="38.25" customHeight="1" x14ac:dyDescent="0.25">
      <c r="A6" s="64">
        <v>43889</v>
      </c>
      <c r="B6" s="40"/>
    </row>
    <row r="7" spans="1:2" ht="38.25" customHeight="1" x14ac:dyDescent="0.25">
      <c r="A7" s="64">
        <v>43903</v>
      </c>
      <c r="B7" s="40"/>
    </row>
    <row r="8" spans="1:2" ht="38.25" customHeight="1" x14ac:dyDescent="0.25">
      <c r="A8" s="64">
        <v>43917</v>
      </c>
      <c r="B8" s="40"/>
    </row>
    <row r="9" spans="1:2" ht="38.25" customHeight="1" x14ac:dyDescent="0.25">
      <c r="A9" s="64">
        <v>43931</v>
      </c>
      <c r="B9" s="40"/>
    </row>
    <row r="10" spans="1:2" ht="38.25" customHeight="1" x14ac:dyDescent="0.25">
      <c r="A10" s="64">
        <v>43945</v>
      </c>
      <c r="B10" s="40"/>
    </row>
    <row r="11" spans="1:2" ht="38.25" customHeight="1" x14ac:dyDescent="0.25">
      <c r="A11" s="64">
        <v>43959</v>
      </c>
      <c r="B11" s="40"/>
    </row>
    <row r="12" spans="1:2" ht="38.25" customHeight="1" x14ac:dyDescent="0.25">
      <c r="A12" s="64">
        <v>43973</v>
      </c>
      <c r="B12" s="40"/>
    </row>
    <row r="13" spans="1:2" ht="38.25" customHeight="1" x14ac:dyDescent="0.25">
      <c r="A13" s="64">
        <v>43987</v>
      </c>
      <c r="B13" s="40"/>
    </row>
    <row r="14" spans="1:2" ht="38.25" customHeight="1" x14ac:dyDescent="0.25">
      <c r="A14" s="64">
        <v>44001</v>
      </c>
      <c r="B14" s="40"/>
    </row>
    <row r="15" spans="1:2" ht="38.25" customHeight="1" x14ac:dyDescent="0.25">
      <c r="A15" s="64">
        <v>44015</v>
      </c>
      <c r="B15" s="40"/>
    </row>
    <row r="16" spans="1:2" ht="38.25" customHeight="1" x14ac:dyDescent="0.25">
      <c r="A16" s="64">
        <v>44029</v>
      </c>
      <c r="B16" s="40"/>
    </row>
    <row r="17" spans="1:2" ht="38.25" customHeight="1" x14ac:dyDescent="0.25">
      <c r="A17" s="64">
        <v>44043</v>
      </c>
      <c r="B17" s="40"/>
    </row>
    <row r="18" spans="1:2" ht="38.25" customHeight="1" x14ac:dyDescent="0.25">
      <c r="A18" s="64">
        <v>44057</v>
      </c>
      <c r="B18" s="40"/>
    </row>
    <row r="19" spans="1:2" ht="38.25" customHeight="1" x14ac:dyDescent="0.25">
      <c r="A19" s="64">
        <v>44071</v>
      </c>
      <c r="B19" s="40"/>
    </row>
    <row r="20" spans="1:2" ht="38.25" customHeight="1" x14ac:dyDescent="0.25">
      <c r="A20" s="64">
        <v>44085</v>
      </c>
      <c r="B20" s="40"/>
    </row>
    <row r="21" spans="1:2" ht="38.25" customHeight="1" x14ac:dyDescent="0.25">
      <c r="A21" s="69">
        <v>44099</v>
      </c>
      <c r="B21" s="12"/>
    </row>
    <row r="22" spans="1:2" ht="38.25" customHeight="1" x14ac:dyDescent="0.25">
      <c r="A22" s="69">
        <v>44113</v>
      </c>
      <c r="B22" s="12"/>
    </row>
    <row r="23" spans="1:2" ht="38.25" customHeight="1" x14ac:dyDescent="0.25">
      <c r="A23" s="69">
        <v>44127</v>
      </c>
      <c r="B23" s="12"/>
    </row>
    <row r="24" spans="1:2" ht="38.25" customHeight="1" x14ac:dyDescent="0.25">
      <c r="A24" s="69">
        <v>44141</v>
      </c>
      <c r="B24" s="12"/>
    </row>
    <row r="25" spans="1:2" ht="38.25" customHeight="1" x14ac:dyDescent="0.25">
      <c r="A25" s="69">
        <v>44155</v>
      </c>
      <c r="B25" s="12"/>
    </row>
    <row r="26" spans="1:2" ht="38.25" customHeight="1" x14ac:dyDescent="0.25">
      <c r="A26" s="69">
        <v>44169</v>
      </c>
      <c r="B26" s="12"/>
    </row>
    <row r="27" spans="1:2" ht="38.25" customHeight="1" x14ac:dyDescent="0.25">
      <c r="A27" s="69">
        <v>44183</v>
      </c>
      <c r="B27" s="12"/>
    </row>
    <row r="28" spans="1:2" x14ac:dyDescent="0.25">
      <c r="A28" s="17"/>
    </row>
    <row r="29" spans="1:2" x14ac:dyDescent="0.25">
      <c r="A29" s="17"/>
    </row>
    <row r="30" spans="1:2" x14ac:dyDescent="0.25">
      <c r="A30" s="17"/>
    </row>
    <row r="31" spans="1:2" x14ac:dyDescent="0.25">
      <c r="A31" s="17"/>
    </row>
  </sheetData>
  <protectedRanges>
    <protectedRange sqref="B2:B20" name="Other Reasons"/>
  </protectedRanges>
  <pageMargins left="0.7" right="0.7" top="0.75" bottom="0.75" header="0.3" footer="0.3"/>
  <pageSetup scale="8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pageSetUpPr fitToPage="1"/>
  </sheetPr>
  <dimension ref="A1:K31"/>
  <sheetViews>
    <sheetView showGridLines="0" topLeftCell="A2" workbookViewId="0">
      <selection activeCell="E9" sqref="E9"/>
    </sheetView>
  </sheetViews>
  <sheetFormatPr defaultRowHeight="15" x14ac:dyDescent="0.25"/>
  <cols>
    <col min="1" max="1" width="19.5703125" customWidth="1"/>
    <col min="2" max="2" width="13" style="10" customWidth="1"/>
    <col min="3" max="11" width="13" customWidth="1"/>
  </cols>
  <sheetData>
    <row r="1" spans="1:11" ht="42" customHeight="1" x14ac:dyDescent="0.35">
      <c r="A1" s="13" t="s">
        <v>11</v>
      </c>
      <c r="B1" s="80" t="s">
        <v>126</v>
      </c>
      <c r="C1" s="81"/>
      <c r="D1" s="81"/>
      <c r="E1" s="81"/>
      <c r="F1" s="81"/>
      <c r="G1" s="81"/>
      <c r="H1" s="81"/>
      <c r="I1" s="81"/>
      <c r="J1" s="81"/>
      <c r="K1" s="82"/>
    </row>
    <row r="2" spans="1:11" ht="31.5" customHeight="1" x14ac:dyDescent="0.25">
      <c r="A2" s="64">
        <v>43833</v>
      </c>
      <c r="B2" s="53"/>
      <c r="C2" s="2"/>
      <c r="D2" s="2"/>
      <c r="E2" s="2"/>
      <c r="F2" s="2"/>
      <c r="G2" s="2"/>
      <c r="H2" s="2"/>
      <c r="I2" s="2"/>
      <c r="J2" s="2"/>
      <c r="K2" s="2"/>
    </row>
    <row r="3" spans="1:11" ht="31.5" customHeight="1" x14ac:dyDescent="0.25">
      <c r="A3" s="64">
        <v>43847</v>
      </c>
      <c r="B3" s="53">
        <v>96706</v>
      </c>
      <c r="C3" s="2"/>
      <c r="D3" s="2"/>
      <c r="E3" s="2"/>
      <c r="F3" s="2"/>
      <c r="G3" s="2"/>
      <c r="H3" s="2"/>
      <c r="I3" s="2"/>
      <c r="J3" s="2"/>
      <c r="K3" s="2"/>
    </row>
    <row r="4" spans="1:11" ht="31.5" customHeight="1" x14ac:dyDescent="0.25">
      <c r="A4" s="64">
        <v>43861</v>
      </c>
      <c r="B4" s="53"/>
      <c r="C4" s="2"/>
      <c r="D4" s="2"/>
      <c r="E4" s="2"/>
      <c r="F4" s="2"/>
      <c r="G4" s="2"/>
      <c r="H4" s="2"/>
      <c r="I4" s="2"/>
      <c r="J4" s="2"/>
      <c r="K4" s="2"/>
    </row>
    <row r="5" spans="1:11" ht="31.5" customHeight="1" x14ac:dyDescent="0.25">
      <c r="A5" s="64">
        <v>43875</v>
      </c>
      <c r="B5" s="53"/>
      <c r="C5" s="2"/>
      <c r="D5" s="2"/>
      <c r="E5" s="2"/>
      <c r="F5" s="63"/>
      <c r="G5" s="2"/>
      <c r="H5" s="2"/>
      <c r="I5" s="2"/>
      <c r="J5" s="2"/>
      <c r="K5" s="2"/>
    </row>
    <row r="6" spans="1:11" ht="31.5" customHeight="1" x14ac:dyDescent="0.25">
      <c r="A6" s="64">
        <v>43889</v>
      </c>
      <c r="B6" s="53">
        <v>116223</v>
      </c>
      <c r="C6" s="2">
        <v>35259</v>
      </c>
      <c r="D6" s="2"/>
      <c r="E6" s="2"/>
      <c r="F6" s="2"/>
      <c r="G6" s="2"/>
      <c r="H6" s="2"/>
      <c r="I6" s="2"/>
      <c r="J6" s="2"/>
      <c r="K6" s="2"/>
    </row>
    <row r="7" spans="1:11" ht="31.5" customHeight="1" x14ac:dyDescent="0.25">
      <c r="A7" s="64">
        <v>43903</v>
      </c>
      <c r="B7" s="53">
        <v>35259</v>
      </c>
      <c r="C7" s="2">
        <v>96706</v>
      </c>
      <c r="D7" s="2">
        <v>115563</v>
      </c>
      <c r="E7" s="2">
        <v>116223</v>
      </c>
      <c r="F7" s="2">
        <v>115563</v>
      </c>
      <c r="G7" s="2">
        <v>99050</v>
      </c>
      <c r="H7" s="2"/>
      <c r="I7" s="2"/>
      <c r="J7" s="2"/>
      <c r="K7" s="2"/>
    </row>
    <row r="8" spans="1:11" ht="31.5" customHeight="1" x14ac:dyDescent="0.25">
      <c r="A8" s="64">
        <v>43917</v>
      </c>
      <c r="B8" s="53"/>
      <c r="C8" s="2"/>
      <c r="D8" s="2"/>
      <c r="E8" s="2"/>
      <c r="F8" s="2"/>
      <c r="G8" s="2"/>
      <c r="H8" s="2"/>
      <c r="I8" s="2"/>
      <c r="J8" s="2"/>
      <c r="K8" s="2"/>
    </row>
    <row r="9" spans="1:11" ht="31.5" customHeight="1" x14ac:dyDescent="0.25">
      <c r="A9" s="64">
        <v>43931</v>
      </c>
      <c r="B9" s="53"/>
      <c r="C9" s="2"/>
      <c r="D9" s="2"/>
      <c r="E9" s="2"/>
      <c r="F9" s="2"/>
      <c r="G9" s="2"/>
      <c r="H9" s="2"/>
      <c r="I9" s="2"/>
      <c r="J9" s="2"/>
      <c r="K9" s="2"/>
    </row>
    <row r="10" spans="1:11" ht="31.5" customHeight="1" x14ac:dyDescent="0.25">
      <c r="A10" s="64">
        <v>43945</v>
      </c>
      <c r="B10" s="53"/>
      <c r="C10" s="2"/>
      <c r="D10" s="2"/>
      <c r="E10" s="2"/>
      <c r="F10" s="2"/>
      <c r="G10" s="2"/>
      <c r="H10" s="2"/>
      <c r="I10" s="2"/>
      <c r="J10" s="2"/>
      <c r="K10" s="2"/>
    </row>
    <row r="11" spans="1:11" ht="31.5" customHeight="1" x14ac:dyDescent="0.25">
      <c r="A11" s="64">
        <v>43959</v>
      </c>
      <c r="B11" s="53"/>
      <c r="C11" s="2"/>
      <c r="D11" s="2"/>
      <c r="E11" s="2"/>
      <c r="F11" s="2"/>
      <c r="G11" s="2"/>
      <c r="H11" s="2"/>
      <c r="I11" s="2"/>
      <c r="J11" s="2"/>
      <c r="K11" s="2"/>
    </row>
    <row r="12" spans="1:11" ht="31.5" customHeight="1" x14ac:dyDescent="0.25">
      <c r="A12" s="64">
        <v>43973</v>
      </c>
      <c r="B12" s="53"/>
      <c r="C12" s="2"/>
      <c r="D12" s="2"/>
      <c r="E12" s="2"/>
      <c r="F12" s="2"/>
      <c r="G12" s="2"/>
      <c r="H12" s="2"/>
      <c r="I12" s="2"/>
      <c r="J12" s="2"/>
      <c r="K12" s="2"/>
    </row>
    <row r="13" spans="1:11" ht="31.5" customHeight="1" x14ac:dyDescent="0.25">
      <c r="A13" s="64">
        <v>43987</v>
      </c>
      <c r="B13" s="53"/>
      <c r="C13" s="2"/>
      <c r="D13" s="2"/>
      <c r="E13" s="2"/>
      <c r="F13" s="2"/>
      <c r="G13" s="2"/>
      <c r="H13" s="2"/>
      <c r="I13" s="2"/>
      <c r="J13" s="2"/>
      <c r="K13" s="2"/>
    </row>
    <row r="14" spans="1:11" ht="31.5" customHeight="1" x14ac:dyDescent="0.25">
      <c r="A14" s="64">
        <v>44001</v>
      </c>
      <c r="B14" s="53"/>
      <c r="C14" s="2"/>
      <c r="D14" s="2"/>
      <c r="E14" s="2"/>
      <c r="F14" s="2"/>
      <c r="G14" s="2"/>
      <c r="H14" s="2"/>
      <c r="I14" s="2"/>
      <c r="J14" s="2"/>
      <c r="K14" s="2"/>
    </row>
    <row r="15" spans="1:11" ht="31.5" customHeight="1" x14ac:dyDescent="0.25">
      <c r="A15" s="64">
        <v>44015</v>
      </c>
      <c r="B15" s="53"/>
      <c r="C15" s="2"/>
      <c r="D15" s="2"/>
      <c r="E15" s="2"/>
      <c r="F15" s="2"/>
      <c r="G15" s="2"/>
      <c r="H15" s="2"/>
      <c r="I15" s="2"/>
      <c r="J15" s="2"/>
      <c r="K15" s="2"/>
    </row>
    <row r="16" spans="1:11" ht="31.5" customHeight="1" x14ac:dyDescent="0.25">
      <c r="A16" s="64">
        <v>44029</v>
      </c>
      <c r="B16" s="53"/>
      <c r="C16" s="2"/>
      <c r="D16" s="2"/>
      <c r="E16" s="2"/>
      <c r="F16" s="2"/>
      <c r="G16" s="2"/>
      <c r="H16" s="2"/>
      <c r="I16" s="2"/>
      <c r="J16" s="2"/>
      <c r="K16" s="2"/>
    </row>
    <row r="17" spans="1:11" ht="31.5" customHeight="1" x14ac:dyDescent="0.25">
      <c r="A17" s="64">
        <v>44043</v>
      </c>
      <c r="B17" s="53"/>
      <c r="C17" s="2"/>
      <c r="D17" s="2"/>
      <c r="E17" s="2"/>
      <c r="F17" s="2"/>
      <c r="G17" s="2"/>
      <c r="H17" s="2"/>
      <c r="I17" s="2"/>
      <c r="J17" s="2"/>
      <c r="K17" s="2"/>
    </row>
    <row r="18" spans="1:11" ht="31.5" customHeight="1" x14ac:dyDescent="0.25">
      <c r="A18" s="64">
        <v>44057</v>
      </c>
      <c r="B18" s="54"/>
      <c r="C18" s="2"/>
      <c r="D18" s="2"/>
      <c r="E18" s="2"/>
      <c r="F18" s="2"/>
      <c r="G18" s="2"/>
      <c r="H18" s="2"/>
      <c r="I18" s="2"/>
      <c r="J18" s="2"/>
      <c r="K18" s="2"/>
    </row>
    <row r="19" spans="1:11" ht="31.5" customHeight="1" x14ac:dyDescent="0.25">
      <c r="A19" s="64">
        <v>44071</v>
      </c>
      <c r="B19" s="54"/>
      <c r="C19" s="2"/>
      <c r="D19" s="2"/>
      <c r="E19" s="2"/>
      <c r="F19" s="2"/>
      <c r="G19" s="2"/>
      <c r="H19" s="2"/>
      <c r="I19" s="2"/>
      <c r="J19" s="2"/>
      <c r="K19" s="2"/>
    </row>
    <row r="20" spans="1:11" ht="31.5" customHeight="1" x14ac:dyDescent="0.25">
      <c r="A20" s="64">
        <v>44085</v>
      </c>
      <c r="B20" s="54"/>
      <c r="C20" s="2"/>
      <c r="D20" s="2"/>
      <c r="E20" s="2"/>
      <c r="F20" s="2"/>
      <c r="G20" s="2"/>
      <c r="H20" s="2"/>
      <c r="I20" s="2"/>
      <c r="J20" s="2"/>
      <c r="K20" s="2"/>
    </row>
    <row r="21" spans="1:11" ht="31.5" customHeight="1" x14ac:dyDescent="0.25">
      <c r="A21" s="69">
        <v>44099</v>
      </c>
      <c r="B21" s="12"/>
      <c r="C21" s="68"/>
      <c r="D21" s="68"/>
      <c r="E21" s="68"/>
      <c r="F21" s="68"/>
      <c r="G21" s="68"/>
      <c r="H21" s="68"/>
      <c r="I21" s="68"/>
      <c r="J21" s="68"/>
      <c r="K21" s="68"/>
    </row>
    <row r="22" spans="1:11" ht="31.5" customHeight="1" x14ac:dyDescent="0.25">
      <c r="A22" s="69">
        <v>44113</v>
      </c>
      <c r="B22" s="12"/>
      <c r="C22" s="68"/>
      <c r="D22" s="68"/>
      <c r="E22" s="68"/>
      <c r="F22" s="68"/>
      <c r="G22" s="68"/>
      <c r="H22" s="68"/>
      <c r="I22" s="68"/>
      <c r="J22" s="68"/>
      <c r="K22" s="68"/>
    </row>
    <row r="23" spans="1:11" ht="31.5" customHeight="1" x14ac:dyDescent="0.25">
      <c r="A23" s="69">
        <v>44127</v>
      </c>
      <c r="B23" s="12"/>
      <c r="C23" s="68"/>
      <c r="D23" s="68"/>
      <c r="E23" s="68"/>
      <c r="F23" s="68"/>
      <c r="G23" s="68"/>
      <c r="H23" s="68"/>
      <c r="I23" s="68"/>
      <c r="J23" s="68"/>
      <c r="K23" s="68"/>
    </row>
    <row r="24" spans="1:11" ht="31.5" customHeight="1" x14ac:dyDescent="0.25">
      <c r="A24" s="69">
        <v>44141</v>
      </c>
      <c r="B24" s="12"/>
      <c r="C24" s="68"/>
      <c r="D24" s="68"/>
      <c r="E24" s="68"/>
      <c r="F24" s="68"/>
      <c r="G24" s="68"/>
      <c r="H24" s="68"/>
      <c r="I24" s="68"/>
      <c r="J24" s="68"/>
      <c r="K24" s="68"/>
    </row>
    <row r="25" spans="1:11" ht="31.5" customHeight="1" x14ac:dyDescent="0.25">
      <c r="A25" s="69">
        <v>44155</v>
      </c>
      <c r="B25" s="12"/>
      <c r="C25" s="68"/>
      <c r="D25" s="68"/>
      <c r="E25" s="68"/>
      <c r="F25" s="68"/>
      <c r="G25" s="68"/>
      <c r="H25" s="68"/>
      <c r="I25" s="68"/>
      <c r="J25" s="68"/>
      <c r="K25" s="68"/>
    </row>
    <row r="26" spans="1:11" ht="31.5" customHeight="1" x14ac:dyDescent="0.25">
      <c r="A26" s="69">
        <v>44169</v>
      </c>
      <c r="B26" s="12"/>
      <c r="C26" s="68"/>
      <c r="D26" s="68"/>
      <c r="E26" s="68"/>
      <c r="F26" s="68"/>
      <c r="G26" s="68"/>
      <c r="H26" s="68"/>
      <c r="I26" s="68"/>
      <c r="J26" s="68"/>
      <c r="K26" s="68"/>
    </row>
    <row r="27" spans="1:11" ht="31.5" customHeight="1" x14ac:dyDescent="0.25">
      <c r="A27" s="69">
        <v>44183</v>
      </c>
      <c r="B27" s="12"/>
      <c r="C27" s="68"/>
      <c r="D27" s="68"/>
      <c r="E27" s="68"/>
      <c r="F27" s="68"/>
      <c r="G27" s="68"/>
      <c r="H27" s="68"/>
      <c r="I27" s="68"/>
      <c r="J27" s="68"/>
      <c r="K27" s="68"/>
    </row>
    <row r="28" spans="1:11" x14ac:dyDescent="0.25">
      <c r="A28" s="17"/>
    </row>
    <row r="29" spans="1:11" x14ac:dyDescent="0.25">
      <c r="A29" s="17"/>
    </row>
    <row r="30" spans="1:11" x14ac:dyDescent="0.25">
      <c r="A30" s="17"/>
    </row>
    <row r="31" spans="1:11" x14ac:dyDescent="0.25">
      <c r="A31" s="17"/>
    </row>
  </sheetData>
  <protectedRanges>
    <protectedRange sqref="B2:K20" name="OTR Numbers"/>
  </protectedRanges>
  <mergeCells count="1">
    <mergeCell ref="B1:K1"/>
  </mergeCells>
  <pageMargins left="0.7" right="0.7" top="0.75" bottom="0.75" header="0.3" footer="0.3"/>
  <pageSetup scale="82"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sheetPr>
  <dimension ref="A1:A76"/>
  <sheetViews>
    <sheetView showGridLines="0" zoomScaleNormal="100" workbookViewId="0">
      <selection activeCell="B28" sqref="B28"/>
    </sheetView>
  </sheetViews>
  <sheetFormatPr defaultRowHeight="15" x14ac:dyDescent="0.25"/>
  <cols>
    <col min="1" max="1" width="98.7109375" style="10" customWidth="1"/>
  </cols>
  <sheetData>
    <row r="1" spans="1:1" ht="23.25" x14ac:dyDescent="0.35">
      <c r="A1" s="59" t="s">
        <v>101</v>
      </c>
    </row>
    <row r="2" spans="1:1" x14ac:dyDescent="0.25">
      <c r="A2" s="56"/>
    </row>
    <row r="3" spans="1:1" ht="30" x14ac:dyDescent="0.25">
      <c r="A3" s="56" t="s">
        <v>66</v>
      </c>
    </row>
    <row r="4" spans="1:1" ht="15" customHeight="1" x14ac:dyDescent="0.25">
      <c r="A4" s="56" t="s">
        <v>70</v>
      </c>
    </row>
    <row r="5" spans="1:1" ht="21" customHeight="1" x14ac:dyDescent="0.25">
      <c r="A5" s="56"/>
    </row>
    <row r="6" spans="1:1" ht="21" customHeight="1" x14ac:dyDescent="0.35">
      <c r="A6" s="60" t="s">
        <v>67</v>
      </c>
    </row>
    <row r="7" spans="1:1" ht="15" customHeight="1" x14ac:dyDescent="0.25">
      <c r="A7" s="57" t="s">
        <v>68</v>
      </c>
    </row>
    <row r="8" spans="1:1" ht="30" x14ac:dyDescent="0.25">
      <c r="A8" s="56" t="s">
        <v>102</v>
      </c>
    </row>
    <row r="9" spans="1:1" ht="15" customHeight="1" x14ac:dyDescent="0.25">
      <c r="A9" s="56"/>
    </row>
    <row r="10" spans="1:1" ht="15" customHeight="1" x14ac:dyDescent="0.25">
      <c r="A10" s="57" t="s">
        <v>78</v>
      </c>
    </row>
    <row r="11" spans="1:1" x14ac:dyDescent="0.25">
      <c r="A11" s="56" t="s">
        <v>106</v>
      </c>
    </row>
    <row r="12" spans="1:1" ht="15" customHeight="1" x14ac:dyDescent="0.25">
      <c r="A12" s="56" t="s">
        <v>107</v>
      </c>
    </row>
    <row r="13" spans="1:1" ht="15" customHeight="1" x14ac:dyDescent="0.25">
      <c r="A13" s="56"/>
    </row>
    <row r="14" spans="1:1" ht="15" customHeight="1" x14ac:dyDescent="0.25">
      <c r="A14" s="57" t="s">
        <v>91</v>
      </c>
    </row>
    <row r="15" spans="1:1" ht="15" customHeight="1" x14ac:dyDescent="0.25">
      <c r="A15" s="56" t="s">
        <v>92</v>
      </c>
    </row>
    <row r="16" spans="1:1" ht="15" customHeight="1" x14ac:dyDescent="0.25">
      <c r="A16" s="56" t="s">
        <v>103</v>
      </c>
    </row>
    <row r="17" spans="1:1" ht="15" customHeight="1" x14ac:dyDescent="0.25">
      <c r="A17" s="56" t="s">
        <v>104</v>
      </c>
    </row>
    <row r="18" spans="1:1" ht="15" customHeight="1" x14ac:dyDescent="0.25">
      <c r="A18" s="56" t="s">
        <v>94</v>
      </c>
    </row>
    <row r="19" spans="1:1" ht="15" customHeight="1" x14ac:dyDescent="0.25">
      <c r="A19" s="56" t="s">
        <v>93</v>
      </c>
    </row>
    <row r="20" spans="1:1" ht="15" customHeight="1" x14ac:dyDescent="0.25">
      <c r="A20" s="56"/>
    </row>
    <row r="21" spans="1:1" ht="15" customHeight="1" x14ac:dyDescent="0.25">
      <c r="A21" s="57" t="s">
        <v>71</v>
      </c>
    </row>
    <row r="22" spans="1:1" ht="60" x14ac:dyDescent="0.25">
      <c r="A22" s="58" t="s">
        <v>105</v>
      </c>
    </row>
    <row r="23" spans="1:1" ht="15" customHeight="1" x14ac:dyDescent="0.25">
      <c r="A23" s="56"/>
    </row>
    <row r="24" spans="1:1" ht="15" customHeight="1" x14ac:dyDescent="0.25">
      <c r="A24" s="57" t="s">
        <v>110</v>
      </c>
    </row>
    <row r="25" spans="1:1" ht="45" x14ac:dyDescent="0.25">
      <c r="A25" s="56" t="s">
        <v>109</v>
      </c>
    </row>
    <row r="26" spans="1:1" ht="15" customHeight="1" x14ac:dyDescent="0.25">
      <c r="A26" s="56"/>
    </row>
    <row r="27" spans="1:1" ht="15" customHeight="1" x14ac:dyDescent="0.25">
      <c r="A27" s="57" t="s">
        <v>72</v>
      </c>
    </row>
    <row r="28" spans="1:1" ht="30" x14ac:dyDescent="0.25">
      <c r="A28" s="58" t="s">
        <v>83</v>
      </c>
    </row>
    <row r="29" spans="1:1" ht="15" customHeight="1" x14ac:dyDescent="0.25">
      <c r="A29" s="56"/>
    </row>
    <row r="30" spans="1:1" ht="15" customHeight="1" x14ac:dyDescent="0.25">
      <c r="A30" s="57" t="s">
        <v>77</v>
      </c>
    </row>
    <row r="31" spans="1:1" ht="60" x14ac:dyDescent="0.25">
      <c r="A31" s="56" t="s">
        <v>111</v>
      </c>
    </row>
    <row r="32" spans="1:1" ht="15" customHeight="1" x14ac:dyDescent="0.25">
      <c r="A32" s="56"/>
    </row>
    <row r="33" spans="1:1" ht="15" customHeight="1" x14ac:dyDescent="0.25">
      <c r="A33" s="57" t="s">
        <v>74</v>
      </c>
    </row>
    <row r="34" spans="1:1" ht="90" x14ac:dyDescent="0.25">
      <c r="A34" s="58" t="s">
        <v>112</v>
      </c>
    </row>
    <row r="35" spans="1:1" ht="15" customHeight="1" x14ac:dyDescent="0.25">
      <c r="A35" s="56"/>
    </row>
    <row r="36" spans="1:1" ht="15" customHeight="1" x14ac:dyDescent="0.25">
      <c r="A36" s="57" t="s">
        <v>76</v>
      </c>
    </row>
    <row r="37" spans="1:1" ht="45" x14ac:dyDescent="0.25">
      <c r="A37" s="56" t="s">
        <v>113</v>
      </c>
    </row>
    <row r="38" spans="1:1" ht="15" customHeight="1" x14ac:dyDescent="0.25">
      <c r="A38" s="56"/>
    </row>
    <row r="39" spans="1:1" ht="15" customHeight="1" x14ac:dyDescent="0.25">
      <c r="A39" s="57" t="s">
        <v>75</v>
      </c>
    </row>
    <row r="40" spans="1:1" ht="75" x14ac:dyDescent="0.25">
      <c r="A40" s="56" t="s">
        <v>114</v>
      </c>
    </row>
    <row r="41" spans="1:1" ht="15" customHeight="1" x14ac:dyDescent="0.25">
      <c r="A41" s="56"/>
    </row>
    <row r="42" spans="1:1" ht="15" customHeight="1" x14ac:dyDescent="0.25">
      <c r="A42" s="57" t="s">
        <v>115</v>
      </c>
    </row>
    <row r="43" spans="1:1" ht="60" x14ac:dyDescent="0.25">
      <c r="A43" s="56" t="s">
        <v>116</v>
      </c>
    </row>
    <row r="44" spans="1:1" ht="15" customHeight="1" x14ac:dyDescent="0.25">
      <c r="A44" s="56"/>
    </row>
    <row r="45" spans="1:1" ht="15" customHeight="1" x14ac:dyDescent="0.25">
      <c r="A45" s="57" t="s">
        <v>69</v>
      </c>
    </row>
    <row r="46" spans="1:1" ht="60" x14ac:dyDescent="0.25">
      <c r="A46" s="56" t="s">
        <v>117</v>
      </c>
    </row>
    <row r="48" spans="1:1" x14ac:dyDescent="0.25">
      <c r="A48" s="57" t="s">
        <v>79</v>
      </c>
    </row>
    <row r="49" spans="1:1" x14ac:dyDescent="0.25">
      <c r="A49" s="56" t="s">
        <v>80</v>
      </c>
    </row>
    <row r="51" spans="1:1" x14ac:dyDescent="0.25">
      <c r="A51" s="61" t="s">
        <v>81</v>
      </c>
    </row>
    <row r="52" spans="1:1" x14ac:dyDescent="0.25">
      <c r="A52" s="10" t="s">
        <v>118</v>
      </c>
    </row>
    <row r="54" spans="1:1" x14ac:dyDescent="0.25">
      <c r="A54" s="61" t="s">
        <v>84</v>
      </c>
    </row>
    <row r="55" spans="1:1" ht="45" x14ac:dyDescent="0.25">
      <c r="A55" s="10" t="s">
        <v>119</v>
      </c>
    </row>
    <row r="57" spans="1:1" x14ac:dyDescent="0.25">
      <c r="A57" s="61" t="s">
        <v>82</v>
      </c>
    </row>
    <row r="58" spans="1:1" ht="60" x14ac:dyDescent="0.25">
      <c r="A58" s="10" t="s">
        <v>120</v>
      </c>
    </row>
    <row r="60" spans="1:1" x14ac:dyDescent="0.25">
      <c r="A60" s="61" t="s">
        <v>85</v>
      </c>
    </row>
    <row r="61" spans="1:1" ht="75" x14ac:dyDescent="0.25">
      <c r="A61" s="10" t="s">
        <v>121</v>
      </c>
    </row>
    <row r="63" spans="1:1" x14ac:dyDescent="0.25">
      <c r="A63" s="62" t="s">
        <v>87</v>
      </c>
    </row>
    <row r="64" spans="1:1" ht="75" x14ac:dyDescent="0.25">
      <c r="A64" s="58" t="s">
        <v>122</v>
      </c>
    </row>
    <row r="66" spans="1:1" x14ac:dyDescent="0.25">
      <c r="A66" s="62" t="s">
        <v>86</v>
      </c>
    </row>
    <row r="67" spans="1:1" ht="15" customHeight="1" x14ac:dyDescent="0.25">
      <c r="A67" s="10" t="s">
        <v>88</v>
      </c>
    </row>
    <row r="69" spans="1:1" ht="15" customHeight="1" x14ac:dyDescent="0.25">
      <c r="A69" s="62" t="s">
        <v>123</v>
      </c>
    </row>
    <row r="70" spans="1:1" x14ac:dyDescent="0.25">
      <c r="A70" s="10" t="s">
        <v>108</v>
      </c>
    </row>
    <row r="72" spans="1:1" x14ac:dyDescent="0.25">
      <c r="A72" s="62" t="s">
        <v>89</v>
      </c>
    </row>
    <row r="73" spans="1:1" x14ac:dyDescent="0.25">
      <c r="A73" s="10" t="s">
        <v>124</v>
      </c>
    </row>
    <row r="75" spans="1:1" x14ac:dyDescent="0.25">
      <c r="A75" s="61" t="s">
        <v>90</v>
      </c>
    </row>
    <row r="76" spans="1:1" ht="30" x14ac:dyDescent="0.25">
      <c r="A76" s="10" t="s">
        <v>125</v>
      </c>
    </row>
  </sheetData>
  <sheetProtection sheet="1" objects="1" scenarios="1"/>
  <pageMargins left="0.7" right="0.7" top="0.75" bottom="0.75" header="0.3" footer="0.3"/>
  <pageSetup orientation="portrait" r:id="rId1"/>
  <rowBreaks count="2" manualBreakCount="2">
    <brk id="32" max="16383" man="1"/>
    <brk id="59"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Calculations</vt:lpstr>
      <vt:lpstr>Sprint Summary YTD</vt:lpstr>
      <vt:lpstr>Sprint Summary Q1</vt:lpstr>
      <vt:lpstr>Sprint Summary Q2</vt:lpstr>
      <vt:lpstr>Sprint Summary Q3</vt:lpstr>
      <vt:lpstr>Sprint Summary Q4</vt:lpstr>
      <vt:lpstr>Other</vt:lpstr>
      <vt:lpstr>New Value - OTR &amp; ITRs</vt:lpstr>
      <vt:lpstr>Instructions</vt:lpstr>
    </vt:vector>
  </TitlesOfParts>
  <Company>Virginia IT Infrastructure Partnership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Crookston</dc:creator>
  <cp:lastModifiedBy>VITA Program</cp:lastModifiedBy>
  <cp:lastPrinted>2019-09-26T13:33:01Z</cp:lastPrinted>
  <dcterms:created xsi:type="dcterms:W3CDTF">2018-12-13T15:08:04Z</dcterms:created>
  <dcterms:modified xsi:type="dcterms:W3CDTF">2020-04-21T14:11:12Z</dcterms:modified>
</cp:coreProperties>
</file>